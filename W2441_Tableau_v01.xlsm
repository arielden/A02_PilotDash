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DC05BD20-4804-7139-695A-D245BE01A29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m24103\Documents\PERSONAL\PROJECTS\A01_PilotDashboard\"/>
    </mc:Choice>
  </mc:AlternateContent>
  <xr:revisionPtr revIDLastSave="0" documentId="13_ncr:1_{E4E813B0-A905-4F37-A92A-14F1312D3D79}" xr6:coauthVersionLast="47" xr6:coauthVersionMax="47" xr10:uidLastSave="{00000000-0000-0000-0000-000000000000}"/>
  <bookViews>
    <workbookView xWindow="-120" yWindow="-120" windowWidth="29040" windowHeight="15840" activeTab="6" xr2:uid="{4794EF85-55A6-4D53-9E05-932C5860CE07}"/>
  </bookViews>
  <sheets>
    <sheet name="tableau_gfe12" sheetId="1" r:id="rId1"/>
    <sheet name="H1312 PH2" sheetId="5" r:id="rId2"/>
    <sheet name="DELIVERABLES PH2 - TOTAL" sheetId="7" r:id="rId3"/>
    <sheet name="Valores" sheetId="3" r:id="rId4"/>
    <sheet name="Ayuda" sheetId="4" r:id="rId5"/>
    <sheet name="SupplyAsService" sheetId="8" r:id="rId6"/>
    <sheet name="CO F3" sheetId="9" r:id="rId7"/>
    <sheet name="Hoja2" sheetId="10" r:id="rId8"/>
  </sheets>
  <externalReferences>
    <externalReference r:id="rId9"/>
  </externalReferences>
  <definedNames>
    <definedName name="_xlnm._FilterDatabase" localSheetId="6" hidden="1">'CO F3'!$A$1:$AH$108</definedName>
    <definedName name="_xlnm._FilterDatabase" localSheetId="1" hidden="1">'H1312 PH2'!$A$5:$N$52</definedName>
    <definedName name="_xlnm._FilterDatabase" localSheetId="0" hidden="1">tableau_gfe12!$A$1:$AF$401</definedName>
    <definedName name="ANPQP" localSheetId="1" hidden="1">'H1312 PH2'!$C$4:$N$50</definedName>
    <definedName name="bomdia" localSheetId="1" hidden="1">'H1312 PH2'!$B$4:$N$53</definedName>
    <definedName name="Fornecedores" localSheetId="1" hidden="1">'H1312 PH2'!$C$4:$N$50</definedName>
    <definedName name="LÇLÇL" localSheetId="1" hidden="1">'H1312 PH2'!$B$4:$N$53</definedName>
    <definedName name="ldldldl" localSheetId="1" hidden="1">'H1312 PH2'!$C$4:$N$50</definedName>
    <definedName name="oiii" localSheetId="1" hidden="1">'H1312 PH2'!$C$4:$N$50</definedName>
    <definedName name="rrrr" localSheetId="1" hidden="1">'H1312 PH2'!$C$4:$N$50</definedName>
    <definedName name="trtrtr" localSheetId="1" hidden="1">'H1312 PH2'!$C$4:$N$50</definedName>
    <definedName name="TYPE">tableau_gfe12!$V$2:$V$33</definedName>
  </definedNames>
  <calcPr calcId="191028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108" i="9" l="1"/>
  <c r="P107" i="9"/>
  <c r="P106" i="9"/>
  <c r="P105" i="9"/>
  <c r="P104" i="9"/>
  <c r="P96" i="9"/>
  <c r="P95" i="9"/>
  <c r="P94" i="9"/>
  <c r="P91" i="9"/>
  <c r="P90" i="9"/>
  <c r="P89" i="9"/>
  <c r="P88" i="9"/>
  <c r="P87" i="9"/>
  <c r="P86" i="9"/>
  <c r="P85" i="9"/>
  <c r="P84" i="9"/>
  <c r="P83" i="9"/>
  <c r="P82" i="9"/>
  <c r="P81" i="9"/>
  <c r="P80" i="9"/>
  <c r="P79" i="9"/>
  <c r="P78" i="9"/>
  <c r="P77" i="9"/>
  <c r="P76" i="9"/>
  <c r="P75" i="9"/>
  <c r="P74" i="9"/>
  <c r="P73" i="9"/>
  <c r="P72" i="9"/>
  <c r="P71" i="9"/>
  <c r="P70" i="9"/>
  <c r="P69" i="9"/>
  <c r="P68" i="9"/>
  <c r="P67" i="9"/>
  <c r="P66" i="9"/>
  <c r="P65" i="9"/>
  <c r="P64" i="9"/>
  <c r="P63" i="9"/>
  <c r="P62" i="9"/>
  <c r="P61" i="9"/>
  <c r="P60" i="9"/>
  <c r="P59" i="9"/>
  <c r="P58" i="9"/>
  <c r="P57" i="9"/>
  <c r="P56" i="9"/>
  <c r="P55" i="9"/>
  <c r="P54" i="9"/>
  <c r="P53" i="9"/>
  <c r="P52" i="9"/>
  <c r="P51" i="9"/>
  <c r="P50" i="9"/>
  <c r="P49" i="9"/>
  <c r="P48" i="9"/>
  <c r="P47" i="9"/>
  <c r="P46" i="9"/>
  <c r="P45" i="9"/>
  <c r="P44" i="9"/>
  <c r="P43" i="9"/>
  <c r="P42" i="9"/>
  <c r="P41" i="9"/>
  <c r="P40" i="9"/>
  <c r="P39" i="9"/>
  <c r="P38" i="9"/>
  <c r="P37" i="9"/>
  <c r="P36" i="9"/>
  <c r="P35" i="9"/>
  <c r="P34" i="9"/>
  <c r="P33" i="9"/>
  <c r="P32" i="9"/>
  <c r="P31" i="9"/>
  <c r="P30" i="9"/>
  <c r="P29" i="9"/>
  <c r="P28" i="9"/>
  <c r="P27" i="9"/>
  <c r="P26" i="9"/>
  <c r="P20" i="9"/>
  <c r="O108" i="9" l="1"/>
  <c r="O107" i="9"/>
  <c r="O106" i="9"/>
  <c r="O105" i="9"/>
  <c r="O104" i="9"/>
  <c r="O96" i="9"/>
  <c r="O95" i="9"/>
  <c r="O94" i="9"/>
  <c r="O91" i="9"/>
  <c r="O90" i="9"/>
  <c r="O89" i="9"/>
  <c r="O88" i="9"/>
  <c r="O87" i="9"/>
  <c r="O86" i="9"/>
  <c r="O85" i="9"/>
  <c r="O84" i="9"/>
  <c r="O83" i="9"/>
  <c r="O82" i="9"/>
  <c r="O81" i="9"/>
  <c r="O80" i="9"/>
  <c r="O79" i="9"/>
  <c r="O78" i="9"/>
  <c r="O77" i="9"/>
  <c r="O76" i="9"/>
  <c r="O75" i="9"/>
  <c r="O74" i="9"/>
  <c r="O73" i="9"/>
  <c r="O72" i="9"/>
  <c r="O71" i="9"/>
  <c r="O70" i="9"/>
  <c r="O69" i="9"/>
  <c r="O68" i="9"/>
  <c r="O67" i="9"/>
  <c r="O66" i="9"/>
  <c r="O65" i="9"/>
  <c r="O64" i="9"/>
  <c r="O63" i="9"/>
  <c r="O62" i="9"/>
  <c r="O61" i="9"/>
  <c r="O60" i="9"/>
  <c r="O59" i="9"/>
  <c r="O58" i="9"/>
  <c r="O57" i="9"/>
  <c r="O56" i="9"/>
  <c r="O55" i="9"/>
  <c r="O54" i="9"/>
  <c r="O53" i="9"/>
  <c r="O52" i="9"/>
  <c r="O51" i="9"/>
  <c r="O50" i="9"/>
  <c r="O49" i="9"/>
  <c r="O48" i="9"/>
  <c r="O47" i="9"/>
  <c r="O46" i="9"/>
  <c r="O45" i="9"/>
  <c r="O44" i="9"/>
  <c r="O43" i="9"/>
  <c r="O42" i="9"/>
  <c r="O41" i="9"/>
  <c r="O40" i="9"/>
  <c r="O39" i="9"/>
  <c r="O38" i="9"/>
  <c r="O37" i="9"/>
  <c r="O36" i="9"/>
  <c r="O35" i="9"/>
  <c r="O34" i="9"/>
  <c r="O33" i="9"/>
  <c r="O32" i="9"/>
  <c r="O31" i="9"/>
  <c r="O30" i="9"/>
  <c r="O29" i="9"/>
  <c r="O28" i="9"/>
  <c r="O27" i="9"/>
  <c r="O26" i="9"/>
  <c r="O20" i="9"/>
  <c r="N108" i="9"/>
  <c r="N107" i="9"/>
  <c r="N106" i="9"/>
  <c r="N105" i="9"/>
  <c r="N104" i="9"/>
  <c r="N96" i="9"/>
  <c r="N95" i="9"/>
  <c r="N94" i="9"/>
  <c r="N91" i="9"/>
  <c r="N90" i="9"/>
  <c r="N89" i="9"/>
  <c r="N88" i="9"/>
  <c r="N87" i="9"/>
  <c r="N86" i="9"/>
  <c r="N85" i="9"/>
  <c r="N84" i="9"/>
  <c r="N83" i="9"/>
  <c r="N82" i="9"/>
  <c r="N81" i="9"/>
  <c r="N80" i="9"/>
  <c r="N79" i="9"/>
  <c r="N78" i="9"/>
  <c r="N77" i="9"/>
  <c r="N76" i="9"/>
  <c r="N75" i="9"/>
  <c r="N74" i="9"/>
  <c r="N73" i="9"/>
  <c r="N72" i="9"/>
  <c r="N71" i="9"/>
  <c r="N70" i="9"/>
  <c r="N69" i="9"/>
  <c r="N68" i="9"/>
  <c r="N67" i="9"/>
  <c r="N66" i="9"/>
  <c r="N65" i="9"/>
  <c r="N64" i="9"/>
  <c r="N63" i="9"/>
  <c r="N62" i="9"/>
  <c r="N61" i="9"/>
  <c r="N60" i="9"/>
  <c r="N59" i="9"/>
  <c r="N58" i="9"/>
  <c r="N57" i="9"/>
  <c r="N56" i="9"/>
  <c r="N55" i="9"/>
  <c r="N54" i="9"/>
  <c r="N53" i="9"/>
  <c r="N52" i="9"/>
  <c r="N51" i="9"/>
  <c r="N50" i="9"/>
  <c r="N49" i="9"/>
  <c r="N48" i="9"/>
  <c r="N47" i="9"/>
  <c r="N46" i="9"/>
  <c r="N45" i="9"/>
  <c r="N44" i="9"/>
  <c r="N43" i="9"/>
  <c r="N42" i="9"/>
  <c r="N41" i="9"/>
  <c r="N40" i="9"/>
  <c r="N39" i="9"/>
  <c r="N38" i="9"/>
  <c r="N37" i="9"/>
  <c r="N36" i="9"/>
  <c r="N35" i="9"/>
  <c r="N34" i="9"/>
  <c r="N33" i="9"/>
  <c r="N32" i="9"/>
  <c r="N31" i="9"/>
  <c r="N30" i="9"/>
  <c r="N29" i="9"/>
  <c r="N28" i="9"/>
  <c r="N27" i="9"/>
  <c r="N26" i="9"/>
  <c r="N20" i="9"/>
  <c r="F3" i="10" l="1"/>
  <c r="F4" i="10"/>
  <c r="F5" i="10"/>
  <c r="F6" i="10"/>
  <c r="F7" i="10"/>
  <c r="F8" i="10"/>
  <c r="F9" i="10"/>
  <c r="F10" i="10"/>
  <c r="F11" i="10"/>
  <c r="F12" i="10"/>
  <c r="F13" i="10"/>
  <c r="F14" i="10"/>
  <c r="F15" i="10"/>
  <c r="F16" i="10"/>
  <c r="F2" i="10"/>
  <c r="A3" i="10"/>
  <c r="A4" i="10"/>
  <c r="A5" i="10"/>
  <c r="A6" i="10"/>
  <c r="A7" i="10"/>
  <c r="A8" i="10"/>
  <c r="A9" i="10"/>
  <c r="A10" i="10"/>
  <c r="A11" i="10"/>
  <c r="A12" i="10"/>
  <c r="A13" i="10"/>
  <c r="A14" i="10"/>
  <c r="A15" i="10"/>
  <c r="A16" i="10"/>
  <c r="A2" i="10"/>
  <c r="D3" i="10"/>
  <c r="D4" i="10"/>
  <c r="D5" i="10"/>
  <c r="D6" i="10"/>
  <c r="D7" i="10"/>
  <c r="D8" i="10"/>
  <c r="D9" i="10"/>
  <c r="D10" i="10"/>
  <c r="D11" i="10"/>
  <c r="D12" i="10"/>
  <c r="D13" i="10"/>
  <c r="D14" i="10"/>
  <c r="D15" i="10"/>
  <c r="D16" i="10"/>
  <c r="D2" i="10"/>
  <c r="C3" i="10"/>
  <c r="C4" i="10"/>
  <c r="C5" i="10"/>
  <c r="C6" i="10"/>
  <c r="C7" i="10"/>
  <c r="C8" i="10"/>
  <c r="C9" i="10"/>
  <c r="C10" i="10"/>
  <c r="C11" i="10"/>
  <c r="C12" i="10"/>
  <c r="C13" i="10"/>
  <c r="C14" i="10"/>
  <c r="C15" i="10"/>
  <c r="C16" i="10"/>
  <c r="C2" i="10"/>
  <c r="G3" i="1" l="1"/>
  <c r="G4" i="1"/>
  <c r="G6" i="1"/>
  <c r="G7" i="1"/>
  <c r="G8" i="1"/>
  <c r="G9" i="1"/>
  <c r="G11" i="1"/>
  <c r="G12" i="1"/>
  <c r="G13" i="1"/>
  <c r="G14" i="1"/>
  <c r="G16" i="1"/>
  <c r="H401" i="1"/>
  <c r="H400" i="1"/>
  <c r="H399" i="1"/>
  <c r="H398" i="1"/>
  <c r="H397" i="1"/>
  <c r="H396" i="1"/>
  <c r="H395" i="1"/>
  <c r="H394" i="1"/>
  <c r="H393" i="1"/>
  <c r="H392" i="1"/>
  <c r="H391" i="1"/>
  <c r="H390" i="1"/>
  <c r="H389" i="1"/>
  <c r="H388" i="1"/>
  <c r="H387" i="1"/>
  <c r="H386" i="1"/>
  <c r="H385" i="1"/>
  <c r="H384" i="1"/>
  <c r="H383" i="1"/>
  <c r="H382" i="1"/>
  <c r="H381" i="1"/>
  <c r="H380" i="1"/>
  <c r="H379" i="1"/>
  <c r="H378" i="1"/>
  <c r="H377" i="1"/>
  <c r="H376" i="1"/>
  <c r="H375" i="1"/>
  <c r="H374" i="1"/>
  <c r="H373" i="1"/>
  <c r="H372" i="1"/>
  <c r="H371" i="1"/>
  <c r="H369" i="1"/>
  <c r="H368" i="1"/>
  <c r="H367" i="1"/>
  <c r="H366" i="1"/>
  <c r="H365" i="1"/>
  <c r="H364" i="1"/>
  <c r="H363" i="1"/>
  <c r="H362" i="1"/>
  <c r="H361" i="1"/>
  <c r="H360" i="1"/>
  <c r="H359" i="1"/>
  <c r="H358" i="1"/>
  <c r="H357" i="1"/>
  <c r="H356" i="1"/>
  <c r="H355" i="1"/>
  <c r="H354" i="1"/>
  <c r="H353" i="1"/>
  <c r="H352" i="1"/>
  <c r="H351" i="1"/>
  <c r="H350" i="1"/>
  <c r="H349" i="1"/>
  <c r="H348" i="1"/>
  <c r="H347" i="1"/>
  <c r="H346" i="1"/>
  <c r="H345" i="1"/>
  <c r="H343" i="1"/>
  <c r="H342" i="1"/>
  <c r="H341" i="1"/>
  <c r="H340" i="1"/>
  <c r="H339" i="1"/>
  <c r="H338" i="1"/>
  <c r="H337" i="1"/>
  <c r="H335" i="1"/>
  <c r="H334" i="1"/>
  <c r="H333" i="1"/>
  <c r="H332" i="1"/>
  <c r="H331" i="1"/>
  <c r="H329" i="1"/>
  <c r="H328" i="1"/>
  <c r="H327" i="1"/>
  <c r="H326" i="1"/>
  <c r="H325" i="1"/>
  <c r="H324" i="1"/>
  <c r="H323" i="1"/>
  <c r="H322" i="1"/>
  <c r="H321" i="1"/>
  <c r="H320" i="1"/>
  <c r="H319" i="1"/>
  <c r="H318" i="1"/>
  <c r="H317" i="1"/>
  <c r="H316" i="1"/>
  <c r="H315" i="1"/>
  <c r="H313" i="1"/>
  <c r="H312" i="1"/>
  <c r="H311" i="1"/>
  <c r="H310" i="1"/>
  <c r="H309" i="1"/>
  <c r="H308" i="1"/>
  <c r="H307" i="1"/>
  <c r="H305" i="1"/>
  <c r="H304" i="1"/>
  <c r="H302" i="1"/>
  <c r="H301" i="1"/>
  <c r="H300" i="1"/>
  <c r="H298" i="1"/>
  <c r="H297" i="1"/>
  <c r="H295" i="1"/>
  <c r="H294" i="1"/>
  <c r="H292" i="1"/>
  <c r="H291" i="1"/>
  <c r="H289" i="1"/>
  <c r="H288" i="1"/>
  <c r="H286" i="1"/>
  <c r="H285" i="1"/>
  <c r="H284" i="1"/>
  <c r="H283" i="1"/>
  <c r="H281" i="1"/>
  <c r="H280" i="1"/>
  <c r="H279" i="1"/>
  <c r="H278" i="1"/>
  <c r="H276" i="1"/>
  <c r="H275" i="1"/>
  <c r="H273" i="1"/>
  <c r="H272" i="1"/>
  <c r="H271" i="1"/>
  <c r="H270" i="1"/>
  <c r="H269" i="1"/>
  <c r="H268" i="1"/>
  <c r="H267" i="1"/>
  <c r="H266" i="1"/>
  <c r="H265" i="1"/>
  <c r="H264" i="1"/>
  <c r="H263" i="1"/>
  <c r="H262" i="1"/>
  <c r="H260" i="1"/>
  <c r="H259" i="1"/>
  <c r="H258" i="1"/>
  <c r="H257" i="1"/>
  <c r="H256" i="1"/>
  <c r="H255" i="1"/>
  <c r="H254" i="1"/>
  <c r="H253" i="1"/>
  <c r="H252" i="1"/>
  <c r="H251" i="1"/>
  <c r="H250" i="1"/>
  <c r="H248" i="1"/>
  <c r="H247" i="1"/>
  <c r="H246" i="1"/>
  <c r="H245" i="1"/>
  <c r="H244" i="1"/>
  <c r="H242" i="1"/>
  <c r="H241" i="1"/>
  <c r="H240" i="1"/>
  <c r="H239" i="1"/>
  <c r="H237" i="1"/>
  <c r="H236" i="1"/>
  <c r="H235" i="1"/>
  <c r="H234" i="1"/>
  <c r="H233" i="1"/>
  <c r="H232" i="1"/>
  <c r="H231" i="1"/>
  <c r="H230" i="1"/>
  <c r="H229" i="1"/>
  <c r="H228" i="1"/>
  <c r="H227" i="1"/>
  <c r="H226" i="1"/>
  <c r="H225" i="1"/>
  <c r="H224" i="1"/>
  <c r="H223" i="1"/>
  <c r="H222" i="1"/>
  <c r="H221" i="1"/>
  <c r="H220" i="1"/>
  <c r="H219" i="1"/>
  <c r="H218" i="1"/>
  <c r="H217" i="1"/>
  <c r="H216" i="1"/>
  <c r="H215" i="1"/>
  <c r="H214" i="1"/>
  <c r="H213" i="1"/>
  <c r="H212" i="1"/>
  <c r="H211" i="1"/>
  <c r="H210" i="1"/>
  <c r="H209" i="1"/>
  <c r="H208" i="1"/>
  <c r="H207" i="1"/>
  <c r="H206" i="1"/>
  <c r="H205" i="1"/>
  <c r="H204" i="1"/>
  <c r="H203" i="1"/>
  <c r="H202" i="1"/>
  <c r="H201" i="1"/>
  <c r="H200" i="1"/>
  <c r="H199" i="1"/>
  <c r="H198" i="1"/>
  <c r="H197" i="1"/>
  <c r="H196" i="1"/>
  <c r="H195" i="1"/>
  <c r="H194" i="1"/>
  <c r="H193" i="1"/>
  <c r="H192" i="1"/>
  <c r="H191" i="1"/>
  <c r="H190" i="1"/>
  <c r="H189" i="1"/>
  <c r="H188" i="1"/>
  <c r="H186" i="1"/>
  <c r="H185" i="1"/>
  <c r="H184" i="1"/>
  <c r="H183" i="1"/>
  <c r="H182" i="1"/>
  <c r="H181" i="1"/>
  <c r="H180" i="1"/>
  <c r="H179" i="1"/>
  <c r="H178" i="1"/>
  <c r="H177" i="1"/>
  <c r="H176" i="1"/>
  <c r="H175" i="1"/>
  <c r="H174" i="1"/>
  <c r="H173" i="1"/>
  <c r="H172" i="1"/>
  <c r="H171" i="1"/>
  <c r="H170" i="1"/>
  <c r="H169" i="1"/>
  <c r="H168" i="1"/>
  <c r="H167" i="1"/>
  <c r="H166" i="1"/>
  <c r="H165" i="1"/>
  <c r="H164" i="1"/>
  <c r="H163" i="1"/>
  <c r="H162" i="1"/>
  <c r="H161" i="1"/>
  <c r="H160" i="1"/>
  <c r="H159" i="1"/>
  <c r="H158" i="1"/>
  <c r="H157" i="1"/>
  <c r="H156" i="1"/>
  <c r="H155" i="1"/>
  <c r="H154" i="1"/>
  <c r="H153" i="1"/>
  <c r="H152" i="1"/>
  <c r="H151" i="1"/>
  <c r="H150" i="1"/>
  <c r="H149" i="1"/>
  <c r="H148" i="1"/>
  <c r="H146" i="1"/>
  <c r="H145" i="1"/>
  <c r="H144" i="1"/>
  <c r="H143" i="1"/>
  <c r="H142" i="1"/>
  <c r="H141" i="1"/>
  <c r="H140" i="1"/>
  <c r="H139" i="1"/>
  <c r="H138" i="1"/>
  <c r="H137" i="1"/>
  <c r="H136" i="1"/>
  <c r="H135" i="1"/>
  <c r="H134" i="1"/>
  <c r="H133" i="1"/>
  <c r="H132" i="1"/>
  <c r="H131" i="1"/>
  <c r="H130" i="1"/>
  <c r="H129" i="1"/>
  <c r="H128" i="1"/>
  <c r="H127" i="1"/>
  <c r="H126" i="1"/>
  <c r="H125" i="1"/>
  <c r="H124" i="1"/>
  <c r="H122" i="1"/>
  <c r="H121" i="1"/>
  <c r="H120" i="1"/>
  <c r="H119" i="1"/>
  <c r="H118" i="1"/>
  <c r="H117" i="1"/>
  <c r="H116" i="1"/>
  <c r="H115" i="1"/>
  <c r="H114" i="1"/>
  <c r="H113" i="1"/>
  <c r="H112" i="1"/>
  <c r="H111" i="1"/>
  <c r="H110" i="1"/>
  <c r="H109" i="1"/>
  <c r="H108" i="1"/>
  <c r="H107" i="1"/>
  <c r="H106" i="1"/>
  <c r="H105" i="1"/>
  <c r="H104" i="1"/>
  <c r="H103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4" i="1"/>
  <c r="H13" i="1"/>
  <c r="H12" i="1"/>
  <c r="H11" i="1"/>
  <c r="H9" i="1"/>
  <c r="H8" i="1"/>
  <c r="H7" i="1"/>
  <c r="H6" i="1"/>
  <c r="H4" i="1"/>
  <c r="H3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9" i="1"/>
  <c r="G240" i="1"/>
  <c r="G241" i="1"/>
  <c r="G242" i="1"/>
  <c r="G244" i="1"/>
  <c r="G245" i="1"/>
  <c r="G246" i="1"/>
  <c r="G247" i="1"/>
  <c r="G248" i="1"/>
  <c r="G250" i="1"/>
  <c r="G251" i="1"/>
  <c r="G252" i="1"/>
  <c r="G253" i="1"/>
  <c r="G254" i="1"/>
  <c r="G255" i="1"/>
  <c r="G256" i="1"/>
  <c r="G257" i="1"/>
  <c r="G258" i="1"/>
  <c r="G259" i="1"/>
  <c r="G260" i="1"/>
  <c r="G262" i="1"/>
  <c r="G263" i="1"/>
  <c r="G264" i="1"/>
  <c r="G265" i="1"/>
  <c r="G266" i="1"/>
  <c r="G267" i="1"/>
  <c r="G268" i="1"/>
  <c r="G269" i="1"/>
  <c r="G270" i="1"/>
  <c r="G271" i="1"/>
  <c r="G272" i="1"/>
  <c r="G275" i="1"/>
  <c r="G276" i="1"/>
  <c r="G278" i="1"/>
  <c r="G279" i="1"/>
  <c r="G280" i="1"/>
  <c r="G281" i="1"/>
  <c r="G283" i="1"/>
  <c r="G284" i="1"/>
  <c r="G285" i="1"/>
  <c r="G286" i="1"/>
  <c r="G288" i="1"/>
  <c r="G289" i="1"/>
  <c r="G291" i="1"/>
  <c r="G292" i="1"/>
  <c r="G294" i="1"/>
  <c r="G295" i="1"/>
  <c r="G297" i="1"/>
  <c r="G298" i="1"/>
  <c r="G300" i="1"/>
  <c r="G301" i="1"/>
  <c r="G302" i="1"/>
  <c r="G304" i="1"/>
  <c r="G305" i="1"/>
  <c r="G307" i="1"/>
  <c r="G308" i="1"/>
  <c r="G309" i="1"/>
  <c r="G310" i="1"/>
  <c r="G312" i="1"/>
  <c r="G313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1" i="1"/>
  <c r="G332" i="1"/>
  <c r="G333" i="1"/>
  <c r="G334" i="1"/>
  <c r="G335" i="1"/>
  <c r="G337" i="1"/>
  <c r="G338" i="1"/>
  <c r="G339" i="1"/>
  <c r="G340" i="1"/>
  <c r="G341" i="1"/>
  <c r="G342" i="1"/>
  <c r="G343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F2" i="8" l="1"/>
  <c r="F3" i="8"/>
  <c r="F4" i="8"/>
  <c r="F5" i="8"/>
  <c r="F6" i="8"/>
  <c r="F7" i="8"/>
  <c r="F8" i="8"/>
  <c r="F9" i="8"/>
  <c r="F10" i="8"/>
  <c r="F11" i="8"/>
  <c r="F12" i="8"/>
  <c r="F13" i="8"/>
  <c r="F14" i="8"/>
  <c r="F15" i="8"/>
  <c r="F16" i="8"/>
  <c r="F17" i="8"/>
  <c r="F18" i="8"/>
  <c r="F19" i="8"/>
  <c r="F20" i="8"/>
  <c r="F21" i="8"/>
  <c r="F22" i="8"/>
  <c r="F23" i="8"/>
  <c r="F24" i="8"/>
  <c r="F25" i="8"/>
  <c r="F26" i="8"/>
  <c r="F27" i="8"/>
  <c r="F28" i="8"/>
  <c r="F29" i="8"/>
  <c r="F30" i="8"/>
  <c r="F31" i="8"/>
  <c r="F32" i="8"/>
  <c r="F33" i="8"/>
  <c r="F34" i="8"/>
  <c r="F35" i="8"/>
  <c r="F36" i="8"/>
  <c r="F37" i="8"/>
  <c r="F38" i="8"/>
  <c r="F39" i="8"/>
  <c r="F40" i="8"/>
  <c r="F41" i="8"/>
  <c r="F42" i="8"/>
  <c r="F43" i="8"/>
  <c r="F44" i="8"/>
  <c r="F45" i="8"/>
  <c r="F46" i="8"/>
  <c r="F47" i="8"/>
  <c r="F48" i="8"/>
  <c r="F49" i="8"/>
  <c r="F50" i="8"/>
  <c r="F51" i="8"/>
  <c r="F52" i="8"/>
  <c r="F53" i="8"/>
  <c r="F54" i="8"/>
  <c r="F55" i="8"/>
  <c r="F56" i="8"/>
  <c r="F57" i="8"/>
  <c r="F58" i="8"/>
  <c r="F59" i="8"/>
  <c r="F60" i="8"/>
  <c r="F61" i="8"/>
  <c r="F62" i="8"/>
  <c r="F63" i="8"/>
  <c r="F64" i="8"/>
  <c r="F65" i="8"/>
  <c r="F66" i="8"/>
  <c r="F67" i="8"/>
  <c r="F68" i="8"/>
  <c r="F69" i="8"/>
  <c r="F70" i="8"/>
  <c r="F71" i="8"/>
  <c r="F72" i="8"/>
  <c r="F73" i="8"/>
  <c r="F74" i="8"/>
  <c r="F75" i="8"/>
  <c r="G2" i="8"/>
  <c r="G3" i="8"/>
  <c r="G4" i="8"/>
  <c r="G5" i="8"/>
  <c r="G6" i="8"/>
  <c r="G7" i="8"/>
  <c r="G8" i="8"/>
  <c r="G9" i="8"/>
  <c r="G10" i="8"/>
  <c r="G11" i="8"/>
  <c r="G12" i="8"/>
  <c r="G13" i="8"/>
  <c r="G14" i="8"/>
  <c r="G15" i="8"/>
  <c r="G16" i="8"/>
  <c r="G17" i="8"/>
  <c r="G18" i="8"/>
  <c r="G19" i="8"/>
  <c r="G20" i="8"/>
  <c r="G21" i="8"/>
  <c r="G22" i="8"/>
  <c r="G23" i="8"/>
  <c r="G24" i="8"/>
  <c r="G25" i="8"/>
  <c r="G26" i="8"/>
  <c r="G27" i="8"/>
  <c r="G28" i="8"/>
  <c r="G29" i="8"/>
  <c r="G30" i="8"/>
  <c r="G31" i="8"/>
  <c r="G32" i="8"/>
  <c r="G33" i="8"/>
  <c r="G34" i="8"/>
  <c r="G35" i="8"/>
  <c r="G36" i="8"/>
  <c r="G37" i="8"/>
  <c r="G38" i="8"/>
  <c r="G39" i="8"/>
  <c r="G40" i="8"/>
  <c r="G41" i="8"/>
  <c r="G42" i="8"/>
  <c r="G43" i="8"/>
  <c r="G44" i="8"/>
  <c r="G45" i="8"/>
  <c r="G46" i="8"/>
  <c r="G47" i="8"/>
  <c r="G48" i="8"/>
  <c r="G49" i="8"/>
  <c r="G50" i="8"/>
  <c r="G51" i="8"/>
  <c r="G52" i="8"/>
  <c r="G53" i="8"/>
  <c r="G54" i="8"/>
  <c r="G55" i="8"/>
  <c r="G56" i="8"/>
  <c r="G57" i="8"/>
  <c r="G58" i="8"/>
  <c r="G59" i="8"/>
  <c r="G60" i="8"/>
  <c r="G61" i="8"/>
  <c r="G62" i="8"/>
  <c r="G63" i="8"/>
  <c r="G64" i="8"/>
  <c r="G65" i="8"/>
  <c r="G66" i="8"/>
  <c r="G67" i="8"/>
  <c r="G68" i="8"/>
  <c r="G69" i="8"/>
  <c r="G70" i="8"/>
  <c r="G71" i="8"/>
  <c r="G72" i="8"/>
  <c r="G73" i="8"/>
  <c r="G74" i="8"/>
  <c r="G75" i="8"/>
  <c r="B76" i="8" l="1"/>
  <c r="T41" i="5" l="1"/>
  <c r="O40" i="5"/>
  <c r="P44" i="5"/>
  <c r="O44" i="5"/>
  <c r="R44" i="5"/>
  <c r="S44" i="5"/>
  <c r="T44" i="5"/>
  <c r="U44" i="5"/>
  <c r="V44" i="5"/>
  <c r="W44" i="5"/>
  <c r="X44" i="5"/>
  <c r="Y44" i="5"/>
  <c r="Z44" i="5"/>
  <c r="AA44" i="5"/>
  <c r="AB44" i="5"/>
  <c r="AC44" i="5"/>
  <c r="AD44" i="5"/>
  <c r="AE44" i="5"/>
  <c r="AF44" i="5"/>
  <c r="AG44" i="5"/>
  <c r="AH44" i="5"/>
  <c r="Q44" i="5"/>
  <c r="P43" i="5"/>
  <c r="Q43" i="5"/>
  <c r="R43" i="5"/>
  <c r="S43" i="5"/>
  <c r="T43" i="5"/>
  <c r="U43" i="5"/>
  <c r="V43" i="5"/>
  <c r="W43" i="5"/>
  <c r="X43" i="5"/>
  <c r="Y43" i="5"/>
  <c r="Z43" i="5"/>
  <c r="AA43" i="5"/>
  <c r="AB43" i="5"/>
  <c r="AC43" i="5"/>
  <c r="AD43" i="5"/>
  <c r="AE43" i="5"/>
  <c r="AF43" i="5"/>
  <c r="AG43" i="5"/>
  <c r="AH43" i="5"/>
  <c r="O43" i="5"/>
  <c r="P42" i="5"/>
  <c r="Q42" i="5"/>
  <c r="R42" i="5"/>
  <c r="S42" i="5"/>
  <c r="T42" i="5"/>
  <c r="U42" i="5"/>
  <c r="V42" i="5"/>
  <c r="W42" i="5"/>
  <c r="X42" i="5"/>
  <c r="Y42" i="5"/>
  <c r="Z42" i="5"/>
  <c r="AA42" i="5"/>
  <c r="AB42" i="5"/>
  <c r="AC42" i="5"/>
  <c r="AD42" i="5"/>
  <c r="AE42" i="5"/>
  <c r="AF42" i="5"/>
  <c r="AG42" i="5"/>
  <c r="AH42" i="5"/>
  <c r="O42" i="5"/>
  <c r="P41" i="5"/>
  <c r="Q41" i="5"/>
  <c r="R41" i="5"/>
  <c r="S41" i="5"/>
  <c r="U41" i="5"/>
  <c r="V41" i="5"/>
  <c r="W41" i="5"/>
  <c r="X41" i="5"/>
  <c r="Y41" i="5"/>
  <c r="Z41" i="5"/>
  <c r="AA41" i="5"/>
  <c r="AB41" i="5"/>
  <c r="AC41" i="5"/>
  <c r="AD41" i="5"/>
  <c r="AE41" i="5"/>
  <c r="AF41" i="5"/>
  <c r="AG41" i="5"/>
  <c r="AH41" i="5"/>
  <c r="O41" i="5"/>
  <c r="P40" i="5"/>
  <c r="Q40" i="5"/>
  <c r="R40" i="5"/>
  <c r="S40" i="5"/>
  <c r="T40" i="5"/>
  <c r="U40" i="5"/>
  <c r="V40" i="5"/>
  <c r="W40" i="5"/>
  <c r="X40" i="5"/>
  <c r="Y40" i="5"/>
  <c r="Z40" i="5"/>
  <c r="AA40" i="5"/>
  <c r="AB40" i="5"/>
  <c r="AC40" i="5"/>
  <c r="AD40" i="5"/>
  <c r="AE40" i="5"/>
  <c r="AF40" i="5"/>
  <c r="AG40" i="5"/>
  <c r="AH40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DENARO Ariel</author>
    <author>tc={40E9EC99-9DB5-47C0-AD7F-675A57B6E943}</author>
  </authors>
  <commentList>
    <comment ref="X8" authorId="0" shapeId="0" xr:uid="{D31C8D0A-07A1-4A65-826A-D939C4472E33}">
      <text>
        <r>
          <rPr>
            <b/>
            <sz val="9"/>
            <color indexed="81"/>
            <rFont val="Tahoma"/>
            <family val="2"/>
          </rPr>
          <t>DENARO Ariel:</t>
        </r>
        <r>
          <rPr>
            <sz val="9"/>
            <color indexed="81"/>
            <rFont val="Tahoma"/>
            <family val="2"/>
          </rPr>
          <t xml:space="preserve">
Recheck required in phase three.</t>
        </r>
      </text>
    </comment>
    <comment ref="Z8" authorId="0" shapeId="0" xr:uid="{91B92EA1-04B3-4457-815D-BD8CB0E5BA94}">
      <text>
        <r>
          <rPr>
            <b/>
            <sz val="9"/>
            <color indexed="81"/>
            <rFont val="Tahoma"/>
            <family val="2"/>
          </rPr>
          <t>DENARO Ariel:</t>
        </r>
        <r>
          <rPr>
            <sz val="9"/>
            <color indexed="81"/>
            <rFont val="Tahoma"/>
            <family val="2"/>
          </rPr>
          <t xml:space="preserve">
Draft document.
To be checked in phase three.</t>
        </r>
      </text>
    </comment>
    <comment ref="X9" authorId="0" shapeId="0" xr:uid="{9BB6380C-C40B-4E86-BE66-3F6E3F789E31}">
      <text>
        <r>
          <rPr>
            <b/>
            <sz val="9"/>
            <color indexed="81"/>
            <rFont val="Tahoma"/>
            <family val="2"/>
          </rPr>
          <t>DENARO Ariel:</t>
        </r>
        <r>
          <rPr>
            <sz val="9"/>
            <color indexed="81"/>
            <rFont val="Tahoma"/>
            <family val="2"/>
          </rPr>
          <t xml:space="preserve">
Recheck is required in phase three</t>
        </r>
      </text>
    </comment>
    <comment ref="Z9" authorId="0" shapeId="0" xr:uid="{BB6B7B7C-A43B-43AF-8A9C-5F8F21AEF2B7}">
      <text>
        <r>
          <rPr>
            <b/>
            <sz val="9"/>
            <color indexed="81"/>
            <rFont val="Tahoma"/>
            <family val="2"/>
          </rPr>
          <t>DENARO Ariel:</t>
        </r>
        <r>
          <rPr>
            <sz val="9"/>
            <color indexed="81"/>
            <rFont val="Tahoma"/>
            <family val="2"/>
          </rPr>
          <t xml:space="preserve">
Recheck is required in phase three.</t>
        </r>
      </text>
    </comment>
    <comment ref="X10" authorId="0" shapeId="0" xr:uid="{2E55214B-71F2-4C5A-A3DA-E7567103D95C}">
      <text>
        <r>
          <rPr>
            <b/>
            <sz val="9"/>
            <color indexed="81"/>
            <rFont val="Tahoma"/>
            <family val="2"/>
          </rPr>
          <t>DENARO Ariel:</t>
        </r>
        <r>
          <rPr>
            <sz val="9"/>
            <color indexed="81"/>
            <rFont val="Tahoma"/>
            <family val="2"/>
          </rPr>
          <t xml:space="preserve">
Recheck is required in phase three</t>
        </r>
      </text>
    </comment>
    <comment ref="Z10" authorId="0" shapeId="0" xr:uid="{411C6909-BCF6-4098-B6A0-69DDD6627506}">
      <text>
        <r>
          <rPr>
            <b/>
            <sz val="9"/>
            <color indexed="81"/>
            <rFont val="Tahoma"/>
            <family val="2"/>
          </rPr>
          <t>DENARO Ariel:</t>
        </r>
        <r>
          <rPr>
            <sz val="9"/>
            <color indexed="81"/>
            <rFont val="Tahoma"/>
            <family val="2"/>
          </rPr>
          <t xml:space="preserve">
Draft document. Recheck is required in phase three.</t>
        </r>
      </text>
    </comment>
    <comment ref="C11" authorId="1" shapeId="0" xr:uid="{40E9EC99-9DB5-47C0-AD7F-675A57B6E943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appears as POI</t>
      </text>
    </comment>
    <comment ref="X12" authorId="0" shapeId="0" xr:uid="{78BB631A-95AF-4592-B77C-0C988F1FA936}">
      <text>
        <r>
          <rPr>
            <b/>
            <sz val="9"/>
            <color indexed="81"/>
            <rFont val="Tahoma"/>
            <family val="2"/>
          </rPr>
          <t>DENARO Ariel:</t>
        </r>
        <r>
          <rPr>
            <sz val="9"/>
            <color indexed="81"/>
            <rFont val="Tahoma"/>
            <family val="2"/>
          </rPr>
          <t xml:space="preserve">
Recheck is required in phase three.
</t>
        </r>
      </text>
    </comment>
    <comment ref="Z12" authorId="0" shapeId="0" xr:uid="{280766B4-8249-4281-A98B-F472702E6B40}">
      <text>
        <r>
          <rPr>
            <b/>
            <sz val="9"/>
            <color indexed="81"/>
            <rFont val="Tahoma"/>
            <family val="2"/>
          </rPr>
          <t>DENARO Ariel:</t>
        </r>
        <r>
          <rPr>
            <sz val="9"/>
            <color indexed="81"/>
            <rFont val="Tahoma"/>
            <family val="2"/>
          </rPr>
          <t xml:space="preserve">
Draft document
Recheck is required in phase three.</t>
        </r>
      </text>
    </comment>
    <comment ref="X13" authorId="0" shapeId="0" xr:uid="{F312CCD7-2701-45D2-8EFE-53598743F115}">
      <text>
        <r>
          <rPr>
            <b/>
            <sz val="9"/>
            <color indexed="81"/>
            <rFont val="Tahoma"/>
            <family val="2"/>
          </rPr>
          <t>DENARO Ariel:</t>
        </r>
        <r>
          <rPr>
            <sz val="9"/>
            <color indexed="81"/>
            <rFont val="Tahoma"/>
            <family val="2"/>
          </rPr>
          <t xml:space="preserve">
To complete with control points coordinates.
Recheck is required in phase three</t>
        </r>
      </text>
    </comment>
    <comment ref="Z13" authorId="0" shapeId="0" xr:uid="{9F61958F-23DE-4D2C-91F0-8F1AFFD6E387}">
      <text>
        <r>
          <rPr>
            <b/>
            <sz val="9"/>
            <color indexed="81"/>
            <rFont val="Tahoma"/>
            <family val="2"/>
          </rPr>
          <t>DENARO Ariel:</t>
        </r>
        <r>
          <rPr>
            <sz val="9"/>
            <color indexed="81"/>
            <rFont val="Tahoma"/>
            <family val="2"/>
          </rPr>
          <t xml:space="preserve">
According to definition.</t>
        </r>
      </text>
    </comment>
    <comment ref="AE13" authorId="0" shapeId="0" xr:uid="{77795816-A8A5-473F-959D-E45EFD2E5C21}">
      <text>
        <r>
          <rPr>
            <b/>
            <sz val="9"/>
            <color indexed="81"/>
            <rFont val="Tahoma"/>
            <family val="2"/>
          </rPr>
          <t>DENARO Ariel:</t>
        </r>
        <r>
          <rPr>
            <sz val="9"/>
            <color indexed="81"/>
            <rFont val="Tahoma"/>
            <family val="2"/>
          </rPr>
          <t xml:space="preserve">
Document no complete.</t>
        </r>
      </text>
    </comment>
    <comment ref="AF13" authorId="0" shapeId="0" xr:uid="{03AF62C9-6CBD-437E-BCA8-42D489B0C0A5}">
      <text>
        <r>
          <rPr>
            <b/>
            <sz val="9"/>
            <color indexed="81"/>
            <rFont val="Tahoma"/>
            <family val="2"/>
          </rPr>
          <t>DENARO Ariel:</t>
        </r>
        <r>
          <rPr>
            <sz val="9"/>
            <color indexed="81"/>
            <rFont val="Tahoma"/>
            <family val="2"/>
          </rPr>
          <t xml:space="preserve">
Draft</t>
        </r>
      </text>
    </comment>
    <comment ref="X15" authorId="0" shapeId="0" xr:uid="{794DEA2D-EF0F-436D-9334-9562AA4776AE}">
      <text>
        <r>
          <rPr>
            <b/>
            <sz val="9"/>
            <color indexed="81"/>
            <rFont val="Tahoma"/>
            <family val="2"/>
          </rPr>
          <t>DENARO Ariel:</t>
        </r>
        <r>
          <rPr>
            <sz val="9"/>
            <color indexed="81"/>
            <rFont val="Tahoma"/>
            <family val="2"/>
          </rPr>
          <t xml:space="preserve">
Recheck is required in phase three.</t>
        </r>
      </text>
    </comment>
    <comment ref="X16" authorId="0" shapeId="0" xr:uid="{5A945C12-B4BF-4BBF-9F40-FE4FAA6B76A1}">
      <text>
        <r>
          <rPr>
            <b/>
            <sz val="9"/>
            <color indexed="81"/>
            <rFont val="Tahoma"/>
            <family val="2"/>
          </rPr>
          <t>DENARO Ariel:</t>
        </r>
        <r>
          <rPr>
            <sz val="9"/>
            <color indexed="81"/>
            <rFont val="Tahoma"/>
            <family val="2"/>
          </rPr>
          <t xml:space="preserve">
Recheck is required in phase three.</t>
        </r>
      </text>
    </comment>
    <comment ref="Z16" authorId="0" shapeId="0" xr:uid="{A76E3855-2738-4524-8287-EF1346CDE94D}">
      <text>
        <r>
          <rPr>
            <b/>
            <sz val="9"/>
            <color indexed="81"/>
            <rFont val="Tahoma"/>
            <family val="2"/>
          </rPr>
          <t>DENARO Ariel:</t>
        </r>
        <r>
          <rPr>
            <sz val="9"/>
            <color indexed="81"/>
            <rFont val="Tahoma"/>
            <family val="2"/>
          </rPr>
          <t xml:space="preserve">
Draft document.
Recheck is required in phase three.</t>
        </r>
      </text>
    </comment>
    <comment ref="X17" authorId="0" shapeId="0" xr:uid="{A805C0B7-6814-4FA8-9550-C9DFC384581E}">
      <text>
        <r>
          <rPr>
            <b/>
            <sz val="9"/>
            <color indexed="81"/>
            <rFont val="Tahoma"/>
            <family val="2"/>
          </rPr>
          <t>DENARO Ariel:</t>
        </r>
        <r>
          <rPr>
            <sz val="9"/>
            <color indexed="81"/>
            <rFont val="Tahoma"/>
            <family val="2"/>
          </rPr>
          <t xml:space="preserve">
Recheck is required in phase three.</t>
        </r>
      </text>
    </comment>
    <comment ref="Z17" authorId="0" shapeId="0" xr:uid="{AFDEFE32-9B7C-401C-904E-A25892296826}">
      <text>
        <r>
          <rPr>
            <b/>
            <sz val="9"/>
            <color indexed="81"/>
            <rFont val="Tahoma"/>
            <family val="2"/>
          </rPr>
          <t>DENARO Ariel:</t>
        </r>
        <r>
          <rPr>
            <sz val="9"/>
            <color indexed="81"/>
            <rFont val="Tahoma"/>
            <family val="2"/>
          </rPr>
          <t xml:space="preserve">
Draft document.
Recheck is required in phase three.</t>
        </r>
      </text>
    </comment>
    <comment ref="X18" authorId="0" shapeId="0" xr:uid="{E2CB9D3C-919A-4E92-97DA-E88B7F84F7D0}">
      <text>
        <r>
          <rPr>
            <b/>
            <sz val="9"/>
            <color indexed="81"/>
            <rFont val="Tahoma"/>
            <family val="2"/>
          </rPr>
          <t>DENARO Ariel:</t>
        </r>
        <r>
          <rPr>
            <sz val="9"/>
            <color indexed="81"/>
            <rFont val="Tahoma"/>
            <family val="2"/>
          </rPr>
          <t xml:space="preserve">
Recheck is required in phase three.</t>
        </r>
      </text>
    </comment>
    <comment ref="Z18" authorId="0" shapeId="0" xr:uid="{12DEEDA7-E024-4922-AC18-01FC7547B772}">
      <text>
        <r>
          <rPr>
            <b/>
            <sz val="9"/>
            <color indexed="81"/>
            <rFont val="Tahoma"/>
            <family val="2"/>
          </rPr>
          <t>DENARO Ariel:</t>
        </r>
        <r>
          <rPr>
            <sz val="9"/>
            <color indexed="81"/>
            <rFont val="Tahoma"/>
            <family val="2"/>
          </rPr>
          <t xml:space="preserve">
Draft document.
Recheck is required in phase three.</t>
        </r>
      </text>
    </comment>
    <comment ref="X19" authorId="0" shapeId="0" xr:uid="{F7D6154A-0F9C-4CD7-9BEC-3D514FDDD20D}">
      <text>
        <r>
          <rPr>
            <b/>
            <sz val="9"/>
            <color indexed="81"/>
            <rFont val="Tahoma"/>
            <family val="2"/>
          </rPr>
          <t>DENARO Ariel:</t>
        </r>
        <r>
          <rPr>
            <sz val="9"/>
            <color indexed="81"/>
            <rFont val="Tahoma"/>
            <family val="2"/>
          </rPr>
          <t xml:space="preserve">
Recheck is required in phase three.</t>
        </r>
      </text>
    </comment>
    <comment ref="Z19" authorId="0" shapeId="0" xr:uid="{4738EEDD-E8BC-4F0C-99A7-D5D6C4788F1F}">
      <text>
        <r>
          <rPr>
            <b/>
            <sz val="9"/>
            <color indexed="81"/>
            <rFont val="Tahoma"/>
            <family val="2"/>
          </rPr>
          <t>DENARO Ariel:</t>
        </r>
        <r>
          <rPr>
            <sz val="9"/>
            <color indexed="81"/>
            <rFont val="Tahoma"/>
            <family val="2"/>
          </rPr>
          <t xml:space="preserve">
Draft document.
Recheck in required in phase three.</t>
        </r>
      </text>
    </comment>
    <comment ref="X20" authorId="0" shapeId="0" xr:uid="{F8D3AAC8-8332-4DAB-A5B3-AF99FDE0D9C5}">
      <text>
        <r>
          <rPr>
            <b/>
            <sz val="9"/>
            <color indexed="81"/>
            <rFont val="Tahoma"/>
            <family val="2"/>
          </rPr>
          <t>DENARO Ariel:</t>
        </r>
        <r>
          <rPr>
            <sz val="9"/>
            <color indexed="81"/>
            <rFont val="Tahoma"/>
            <family val="2"/>
          </rPr>
          <t xml:space="preserve">
Recheck is required in phase three.</t>
        </r>
      </text>
    </comment>
    <comment ref="Z20" authorId="0" shapeId="0" xr:uid="{94F7BB38-074A-4BB1-A998-FD75BF29A881}">
      <text>
        <r>
          <rPr>
            <b/>
            <sz val="9"/>
            <color indexed="81"/>
            <rFont val="Tahoma"/>
            <family val="2"/>
          </rPr>
          <t>DENARO Ariel:</t>
        </r>
        <r>
          <rPr>
            <sz val="9"/>
            <color indexed="81"/>
            <rFont val="Tahoma"/>
            <family val="2"/>
          </rPr>
          <t xml:space="preserve">
Draft Document.
Recheck is required in phase three.</t>
        </r>
      </text>
    </comment>
    <comment ref="X21" authorId="0" shapeId="0" xr:uid="{1A387CEA-F7E0-4A9D-9DED-F9538440CA9F}">
      <text>
        <r>
          <rPr>
            <b/>
            <sz val="9"/>
            <color indexed="81"/>
            <rFont val="Tahoma"/>
            <family val="2"/>
          </rPr>
          <t>DENARO Ariel:</t>
        </r>
        <r>
          <rPr>
            <sz val="9"/>
            <color indexed="81"/>
            <rFont val="Tahoma"/>
            <family val="2"/>
          </rPr>
          <t xml:space="preserve">
Recheck required in phase three</t>
        </r>
      </text>
    </comment>
    <comment ref="Z21" authorId="0" shapeId="0" xr:uid="{0686C577-AD4F-4CF4-8C12-88263FFA25A3}">
      <text>
        <r>
          <rPr>
            <b/>
            <sz val="9"/>
            <color indexed="81"/>
            <rFont val="Tahoma"/>
            <family val="2"/>
          </rPr>
          <t>DENARO Ariel:</t>
        </r>
        <r>
          <rPr>
            <sz val="9"/>
            <color indexed="81"/>
            <rFont val="Tahoma"/>
            <family val="2"/>
          </rPr>
          <t xml:space="preserve">
Document according to definition.</t>
        </r>
      </text>
    </comment>
    <comment ref="X24" authorId="0" shapeId="0" xr:uid="{D5076711-6F46-4D50-B0DE-8D8866B6C1B4}">
      <text>
        <r>
          <rPr>
            <b/>
            <sz val="9"/>
            <color indexed="81"/>
            <rFont val="Tahoma"/>
            <family val="2"/>
          </rPr>
          <t>DENARO Ariel:</t>
        </r>
        <r>
          <rPr>
            <sz val="9"/>
            <color indexed="81"/>
            <rFont val="Tahoma"/>
            <family val="2"/>
          </rPr>
          <t xml:space="preserve">
Recheck is required in phase three.</t>
        </r>
      </text>
    </comment>
    <comment ref="X25" authorId="0" shapeId="0" xr:uid="{C59A0D0A-05E3-4633-807B-76335D598202}">
      <text>
        <r>
          <rPr>
            <b/>
            <sz val="9"/>
            <color indexed="81"/>
            <rFont val="Tahoma"/>
            <family val="2"/>
          </rPr>
          <t>DENARO Ariel:</t>
        </r>
        <r>
          <rPr>
            <sz val="9"/>
            <color indexed="81"/>
            <rFont val="Tahoma"/>
            <family val="2"/>
          </rPr>
          <t xml:space="preserve">
Recheck is required in phase three</t>
        </r>
      </text>
    </comment>
    <comment ref="X26" authorId="0" shapeId="0" xr:uid="{AD9B7F4C-988F-49E8-8A1D-F4455FFC7FED}">
      <text>
        <r>
          <rPr>
            <b/>
            <sz val="9"/>
            <color indexed="81"/>
            <rFont val="Tahoma"/>
            <family val="2"/>
          </rPr>
          <t>DENARO Ariel:</t>
        </r>
        <r>
          <rPr>
            <sz val="9"/>
            <color indexed="81"/>
            <rFont val="Tahoma"/>
            <family val="2"/>
          </rPr>
          <t xml:space="preserve">
Recheck is required in phase three</t>
        </r>
      </text>
    </comment>
    <comment ref="X27" authorId="0" shapeId="0" xr:uid="{653C3D30-2FA9-4238-A3B6-A582CE3740DB}">
      <text>
        <r>
          <rPr>
            <b/>
            <sz val="9"/>
            <color indexed="81"/>
            <rFont val="Tahoma"/>
            <family val="2"/>
          </rPr>
          <t>DENARO Ariel:</t>
        </r>
        <r>
          <rPr>
            <sz val="9"/>
            <color indexed="81"/>
            <rFont val="Tahoma"/>
            <family val="2"/>
          </rPr>
          <t xml:space="preserve">
Recheck is required in phase three.
</t>
        </r>
      </text>
    </comment>
    <comment ref="X29" authorId="0" shapeId="0" xr:uid="{18D16AAD-34CA-4229-91AB-737E20FF95E2}">
      <text>
        <r>
          <rPr>
            <b/>
            <sz val="9"/>
            <color indexed="81"/>
            <rFont val="Tahoma"/>
            <family val="2"/>
          </rPr>
          <t>DENARO Ariel:</t>
        </r>
        <r>
          <rPr>
            <sz val="9"/>
            <color indexed="81"/>
            <rFont val="Tahoma"/>
            <family val="2"/>
          </rPr>
          <t xml:space="preserve">
Recheck is required in phase three.</t>
        </r>
      </text>
    </comment>
    <comment ref="X30" authorId="0" shapeId="0" xr:uid="{0FC332E6-856B-415B-9F7F-1D38C1074AEF}">
      <text>
        <r>
          <rPr>
            <b/>
            <sz val="9"/>
            <color indexed="81"/>
            <rFont val="Tahoma"/>
            <family val="2"/>
          </rPr>
          <t>DENARO Ariel:</t>
        </r>
        <r>
          <rPr>
            <sz val="9"/>
            <color indexed="81"/>
            <rFont val="Tahoma"/>
            <family val="2"/>
          </rPr>
          <t xml:space="preserve">
Recheck is required in phase three.</t>
        </r>
      </text>
    </comment>
    <comment ref="Z30" authorId="0" shapeId="0" xr:uid="{695083D4-EBA4-455B-A6D9-ECD4164E1681}">
      <text>
        <r>
          <rPr>
            <b/>
            <sz val="9"/>
            <color indexed="81"/>
            <rFont val="Tahoma"/>
            <family val="2"/>
          </rPr>
          <t>DENARO Ariel:</t>
        </r>
        <r>
          <rPr>
            <sz val="9"/>
            <color indexed="81"/>
            <rFont val="Tahoma"/>
            <family val="2"/>
          </rPr>
          <t xml:space="preserve">
Recheck is required in phase three.</t>
        </r>
      </text>
    </comment>
    <comment ref="X31" authorId="0" shapeId="0" xr:uid="{0F9C5015-1B6D-4CB2-B0D1-2C07E4E270BF}">
      <text>
        <r>
          <rPr>
            <b/>
            <sz val="9"/>
            <color indexed="81"/>
            <rFont val="Tahoma"/>
            <family val="2"/>
          </rPr>
          <t>DENARO Ariel:</t>
        </r>
        <r>
          <rPr>
            <sz val="9"/>
            <color indexed="81"/>
            <rFont val="Tahoma"/>
            <family val="2"/>
          </rPr>
          <t xml:space="preserve">
Recheck is required in phase three.</t>
        </r>
      </text>
    </comment>
    <comment ref="Z31" authorId="0" shapeId="0" xr:uid="{385424A2-0CF7-4C05-82CA-C711A09F2468}">
      <text>
        <r>
          <rPr>
            <b/>
            <sz val="9"/>
            <color indexed="81"/>
            <rFont val="Tahoma"/>
            <family val="2"/>
          </rPr>
          <t>DENARO Ariel:</t>
        </r>
        <r>
          <rPr>
            <sz val="9"/>
            <color indexed="81"/>
            <rFont val="Tahoma"/>
            <family val="2"/>
          </rPr>
          <t xml:space="preserve">
Draft document.
Recheck is required in phase three.</t>
        </r>
      </text>
    </comment>
    <comment ref="X32" authorId="0" shapeId="0" xr:uid="{E2C121BF-E1F9-43B4-A1DC-AAA2DC8760C9}">
      <text>
        <r>
          <rPr>
            <b/>
            <sz val="9"/>
            <color indexed="81"/>
            <rFont val="Tahoma"/>
            <family val="2"/>
          </rPr>
          <t>DENARO Ariel:</t>
        </r>
        <r>
          <rPr>
            <sz val="9"/>
            <color indexed="81"/>
            <rFont val="Tahoma"/>
            <family val="2"/>
          </rPr>
          <t xml:space="preserve">
Recheck is required in phase three.</t>
        </r>
      </text>
    </comment>
    <comment ref="Z32" authorId="0" shapeId="0" xr:uid="{EA9D66A4-742B-4B8C-85DA-20D78999E2DC}">
      <text>
        <r>
          <rPr>
            <b/>
            <sz val="9"/>
            <color indexed="81"/>
            <rFont val="Tahoma"/>
            <family val="2"/>
          </rPr>
          <t>DENARO Ariel:</t>
        </r>
        <r>
          <rPr>
            <sz val="9"/>
            <color indexed="81"/>
            <rFont val="Tahoma"/>
            <family val="2"/>
          </rPr>
          <t xml:space="preserve">
Recheck is required in phase three.</t>
        </r>
      </text>
    </comment>
    <comment ref="X33" authorId="0" shapeId="0" xr:uid="{A66DD907-0480-4A95-B77A-373C0F2E47F2}">
      <text>
        <r>
          <rPr>
            <b/>
            <sz val="9"/>
            <color indexed="81"/>
            <rFont val="Tahoma"/>
            <family val="2"/>
          </rPr>
          <t>DENARO Ariel:</t>
        </r>
        <r>
          <rPr>
            <sz val="9"/>
            <color indexed="81"/>
            <rFont val="Tahoma"/>
            <family val="2"/>
          </rPr>
          <t xml:space="preserve">
Recheck is required in phase three.</t>
        </r>
      </text>
    </comment>
    <comment ref="Z33" authorId="0" shapeId="0" xr:uid="{97908037-97B0-487E-9A7B-69A643086453}">
      <text>
        <r>
          <rPr>
            <b/>
            <sz val="9"/>
            <color indexed="81"/>
            <rFont val="Tahoma"/>
            <family val="2"/>
          </rPr>
          <t>DENARO Ariel:</t>
        </r>
        <r>
          <rPr>
            <sz val="9"/>
            <color indexed="81"/>
            <rFont val="Tahoma"/>
            <family val="2"/>
          </rPr>
          <t xml:space="preserve">
Waiting for drawing definition.</t>
        </r>
      </text>
    </comment>
    <comment ref="X36" authorId="0" shapeId="0" xr:uid="{90A9F449-22CA-46F4-8BE7-54AC5403B42F}">
      <text>
        <r>
          <rPr>
            <b/>
            <sz val="9"/>
            <color indexed="81"/>
            <rFont val="Tahoma"/>
            <family val="2"/>
          </rPr>
          <t>DENARO Ariel:</t>
        </r>
        <r>
          <rPr>
            <sz val="9"/>
            <color indexed="81"/>
            <rFont val="Tahoma"/>
            <family val="2"/>
          </rPr>
          <t xml:space="preserve">
Recheck is required in phase three.</t>
        </r>
      </text>
    </comment>
    <comment ref="Z36" authorId="0" shapeId="0" xr:uid="{9797F791-83BC-4944-A791-5D9525FB6A92}">
      <text>
        <r>
          <rPr>
            <b/>
            <sz val="9"/>
            <color indexed="81"/>
            <rFont val="Tahoma"/>
            <family val="2"/>
          </rPr>
          <t>DENARO Ariel:</t>
        </r>
        <r>
          <rPr>
            <sz val="9"/>
            <color indexed="81"/>
            <rFont val="Tahoma"/>
            <family val="2"/>
          </rPr>
          <t xml:space="preserve">
Recheck is required in phase three.
</t>
        </r>
      </text>
    </comment>
    <comment ref="X37" authorId="0" shapeId="0" xr:uid="{74F3B617-203A-4723-8FAF-0B3815DED0D1}">
      <text>
        <r>
          <rPr>
            <b/>
            <sz val="9"/>
            <color indexed="81"/>
            <rFont val="Tahoma"/>
            <family val="2"/>
          </rPr>
          <t>DENARO Ariel:</t>
        </r>
        <r>
          <rPr>
            <sz val="9"/>
            <color indexed="81"/>
            <rFont val="Tahoma"/>
            <family val="2"/>
          </rPr>
          <t xml:space="preserve">
Recheck is required in phase three.</t>
        </r>
      </text>
    </comment>
    <comment ref="Z37" authorId="0" shapeId="0" xr:uid="{9775472F-3C4F-454E-B3AB-CE09964AA5D9}">
      <text>
        <r>
          <rPr>
            <b/>
            <sz val="9"/>
            <color indexed="81"/>
            <rFont val="Tahoma"/>
            <family val="2"/>
          </rPr>
          <t>DENARO Ariel:</t>
        </r>
        <r>
          <rPr>
            <sz val="9"/>
            <color indexed="81"/>
            <rFont val="Tahoma"/>
            <family val="2"/>
          </rPr>
          <t xml:space="preserve">
Recheck is required in phase three.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DENARO Ariel</author>
  </authors>
  <commentList>
    <comment ref="B17" authorId="0" shapeId="0" xr:uid="{CBE3D359-D47C-46A7-8CF5-05BFFE9C408E}">
      <text>
        <r>
          <rPr>
            <b/>
            <sz val="9"/>
            <color indexed="81"/>
            <rFont val="Tahoma"/>
            <family val="2"/>
          </rPr>
          <t>DENARO Ariel:</t>
        </r>
        <r>
          <rPr>
            <sz val="9"/>
            <color indexed="81"/>
            <rFont val="Tahoma"/>
            <family val="2"/>
          </rPr>
          <t xml:space="preserve">
Incluye documentos draft o sin puntos referenciales (K10)</t>
        </r>
      </text>
    </comment>
  </commentList>
</comments>
</file>

<file path=xl/sharedStrings.xml><?xml version="1.0" encoding="utf-8"?>
<sst xmlns="http://schemas.openxmlformats.org/spreadsheetml/2006/main" count="8940" uniqueCount="1134">
  <si>
    <t>Main</t>
  </si>
  <si>
    <t>GFE</t>
  </si>
  <si>
    <t>SMA</t>
  </si>
  <si>
    <t>Supplier</t>
  </si>
  <si>
    <t>Status</t>
  </si>
  <si>
    <t>Version</t>
  </si>
  <si>
    <t>Designation</t>
  </si>
  <si>
    <t>Type</t>
  </si>
  <si>
    <t>Coef</t>
  </si>
  <si>
    <t>Material</t>
  </si>
  <si>
    <t>Protection</t>
  </si>
  <si>
    <t>Condition</t>
  </si>
  <si>
    <t>00427106-FUMISCOR S.A.</t>
  </si>
  <si>
    <t>x</t>
  </si>
  <si>
    <t>641277376R</t>
  </si>
  <si>
    <t>---</t>
  </si>
  <si>
    <t>SET</t>
  </si>
  <si>
    <t>New</t>
  </si>
  <si>
    <t>DEM0000549227 </t>
  </si>
  <si>
    <t>Pilot</t>
  </si>
  <si>
    <t>in Progress</t>
  </si>
  <si>
    <t>W2438</t>
  </si>
  <si>
    <t>641270159R</t>
  </si>
  <si>
    <t>RENFORT REHAUSSE COUPELLE AMR AV G</t>
  </si>
  <si>
    <t>EMB</t>
  </si>
  <si>
    <t>DX54D</t>
  </si>
  <si>
    <t>Z100MBO</t>
  </si>
  <si>
    <t>New Localization</t>
  </si>
  <si>
    <t>ECROU A SOUDER M8X125 8</t>
  </si>
  <si>
    <t>RMU</t>
  </si>
  <si>
    <t>Buy</t>
  </si>
  <si>
    <t>755240818R</t>
  </si>
  <si>
    <t>BOITIER AV D FIX BERCEAU AR ASS</t>
  </si>
  <si>
    <t>DEM0000541577</t>
  </si>
  <si>
    <t>Piloted</t>
  </si>
  <si>
    <t>W2440</t>
  </si>
  <si>
    <t>755520610R</t>
  </si>
  <si>
    <t xml:space="preserve">BOITIER AV D FIX BERCEAU AR </t>
  </si>
  <si>
    <t>GI60/60-U</t>
  </si>
  <si>
    <t>755380538R</t>
  </si>
  <si>
    <t>EL FRMT BOITIER AV D FIX TRAIN AR ASS</t>
  </si>
  <si>
    <t>ASSY</t>
  </si>
  <si>
    <t>755386598R</t>
  </si>
  <si>
    <t>ELEMENT FRMT BT AV D FIX BERCEAU AR</t>
  </si>
  <si>
    <t>ECROU SOUDER M12X175</t>
  </si>
  <si>
    <t>755259189R</t>
  </si>
  <si>
    <t>BOITIER AV G FIX BERCEAU AR ASS</t>
  </si>
  <si>
    <t>755534380R</t>
  </si>
  <si>
    <t>RENFORT BOITIER G FIX TRAIN AR</t>
  </si>
  <si>
    <t>755396161R</t>
  </si>
  <si>
    <t>ELEMENT FRMT BT AV G FIX BERCEAU AR ASS</t>
  </si>
  <si>
    <t>755394527R</t>
  </si>
  <si>
    <t>EL FRMT BOITIER AV G FIX TRAIN AR</t>
  </si>
  <si>
    <t>661002209R</t>
  </si>
  <si>
    <t>CLOISON CHAUFFAGE ASS</t>
  </si>
  <si>
    <t>DEM0000549037</t>
  </si>
  <si>
    <t>W2442</t>
  </si>
  <si>
    <t>RIVET G 4,8-14 AC</t>
  </si>
  <si>
    <t>743787607R</t>
  </si>
  <si>
    <t>EQUERRE GUIDAGE PLANCHE BORD</t>
  </si>
  <si>
    <t>CR3-UC-U</t>
  </si>
  <si>
    <t>SANS</t>
  </si>
  <si>
    <t>743782104R</t>
  </si>
  <si>
    <t>743785940R</t>
  </si>
  <si>
    <t>663009100R</t>
  </si>
  <si>
    <t>CLOISON CHAUFFAGE</t>
  </si>
  <si>
    <t>671A17344R</t>
  </si>
  <si>
    <t>RENFORT SUP G CLOISON CHAUFFAGE</t>
  </si>
  <si>
    <t>DX54+Z140MBO Z140</t>
  </si>
  <si>
    <t>671A06597R</t>
  </si>
  <si>
    <t>RENFORT SUP D CLOISON CHAUFFAGE</t>
  </si>
  <si>
    <t>612686622R</t>
  </si>
  <si>
    <t>SUPPORT INDEXAGE MOT ESSUIE VITRE ASS</t>
  </si>
  <si>
    <t>612699365R</t>
  </si>
  <si>
    <t>SUPPORT FIX G MOTEUR ESSUIE-VITRE</t>
  </si>
  <si>
    <t>ECROU A SOUDER M6X100 8</t>
  </si>
  <si>
    <t>671A06475R</t>
  </si>
  <si>
    <t>RENFORT CTL CLOISON CHAUFFAGE ASS</t>
  </si>
  <si>
    <t>663626070R</t>
  </si>
  <si>
    <t>RENFORT CLOISON CHAUFFAGE</t>
  </si>
  <si>
    <t>278500116R</t>
  </si>
  <si>
    <t>DEFLECTEUR ENTREE AIR SUR SBS ASS</t>
  </si>
  <si>
    <t>278500657R</t>
  </si>
  <si>
    <t>DEFLECTEUR ENTREE AIR SUR SOUBASSEMENT</t>
  </si>
  <si>
    <t>671A06584R</t>
  </si>
  <si>
    <t>RENFORT D CLOISON CHAUFFAGE ASS</t>
  </si>
  <si>
    <t>663623232R</t>
  </si>
  <si>
    <t>755146051R</t>
  </si>
  <si>
    <t>LONGERON AR D PARTIE AR ASS</t>
  </si>
  <si>
    <t>DEM0000549613</t>
  </si>
  <si>
    <t>W2439</t>
  </si>
  <si>
    <t>755166762R</t>
  </si>
  <si>
    <t>LONGERON AR D PARTIE AR</t>
  </si>
  <si>
    <t xml:space="preserve">GI60/60-U </t>
  </si>
  <si>
    <t>755502384R</t>
  </si>
  <si>
    <t>BOITIER AR D FIX BERCEAU AR ASS</t>
  </si>
  <si>
    <t>756C49566R</t>
  </si>
  <si>
    <t>EL LIAISON TRAVERSE AR LONGERON AR</t>
  </si>
  <si>
    <t>503A26183R</t>
  </si>
  <si>
    <t>RENFORT BOITIER D FIX TRAIN AR</t>
  </si>
  <si>
    <t>755J85466R</t>
  </si>
  <si>
    <t>ELEMENT FRMT BT AR D FIX BERCEAU AR ASS</t>
  </si>
  <si>
    <t>755383546R</t>
  </si>
  <si>
    <t>ELEMENT FRMT BOITIER AR D FIX BERCEAU AR</t>
  </si>
  <si>
    <t>ECROU SERTIR M12</t>
  </si>
  <si>
    <t>755981414R</t>
  </si>
  <si>
    <t>ELEMENT LIAISON LJR AR TRV EXTR AR</t>
  </si>
  <si>
    <t>625924311R</t>
  </si>
  <si>
    <t>RENFORT ANNEAU ARRIMAGE ASS</t>
  </si>
  <si>
    <t>625926894R</t>
  </si>
  <si>
    <t>RENFORT ANNEAU ARRIMAGE</t>
  </si>
  <si>
    <t>ECROU A SOUDER M8X125 8 ROND</t>
  </si>
  <si>
    <t>755154759R</t>
  </si>
  <si>
    <t>LONGERON AR G PARTIE AR ASS</t>
  </si>
  <si>
    <t>755130447R</t>
  </si>
  <si>
    <t>LONGERON AR G PARTIE AR</t>
  </si>
  <si>
    <t>755251616R</t>
  </si>
  <si>
    <t>BOITIER AR G FIX BERCEAU AR ASS</t>
  </si>
  <si>
    <t>756C41775R</t>
  </si>
  <si>
    <t>503A32086R</t>
  </si>
  <si>
    <t>755J84496R</t>
  </si>
  <si>
    <t>ELEMENT FRMT BT AR G FIX BERCEAU AR ASS</t>
  </si>
  <si>
    <t>755394161R</t>
  </si>
  <si>
    <t>ELEMENT FERMETURE BOITIER G FIX TRAIN AR</t>
  </si>
  <si>
    <t>755988669R</t>
  </si>
  <si>
    <t>745619521R</t>
  </si>
  <si>
    <t>SUPPORT AR ECHAPPEMENT ASS</t>
  </si>
  <si>
    <t>745603356R</t>
  </si>
  <si>
    <t>SUPPORT AR ECHAPPEMENT SUR SBS</t>
  </si>
  <si>
    <t>207028325R</t>
  </si>
  <si>
    <t>FIL SUPPORT ECHAPPEMENT AR</t>
  </si>
  <si>
    <t>745605374R</t>
  </si>
  <si>
    <t>SUPPORT AR ECHAPPEMENT SUR SBS ASS</t>
  </si>
  <si>
    <t>745609978R</t>
  </si>
  <si>
    <t>Z140MBO</t>
  </si>
  <si>
    <t>755112066R</t>
  </si>
  <si>
    <t>LONGERON AR G PARTIE AV ASS  -  4x2</t>
  </si>
  <si>
    <t>DEM0000549527</t>
  </si>
  <si>
    <t>W2436</t>
  </si>
  <si>
    <t>755135613R</t>
  </si>
  <si>
    <t>LONGERON AR G PARTIE AV</t>
  </si>
  <si>
    <t>HX380LAD</t>
  </si>
  <si>
    <t>295A69918R</t>
  </si>
  <si>
    <t>CADRE BATTERIE TRACTION SUR SBS ASS</t>
  </si>
  <si>
    <t>299F69202R</t>
  </si>
  <si>
    <t>SUPPORT TUYAU ENTREE BATTERIE TRACTION</t>
  </si>
  <si>
    <t>GOUJON SOUDER DIAM 5-14</t>
  </si>
  <si>
    <t>756990878R</t>
  </si>
  <si>
    <t>SUPPORT LAT G MAINTIEN RESERVOIR ASS</t>
  </si>
  <si>
    <t>756991196R</t>
  </si>
  <si>
    <t>SUPPORT LAT G MAINTIEN RESERVOIR</t>
  </si>
  <si>
    <t>745610856R</t>
  </si>
  <si>
    <t>745618795R</t>
  </si>
  <si>
    <t>SUPPORT ECHAPPEMENT AR</t>
  </si>
  <si>
    <t>745A22555R</t>
  </si>
  <si>
    <t>FIL SUPPORT AR D ECHAPPEMENT SUR SBS</t>
  </si>
  <si>
    <t>TSA330TN</t>
  </si>
  <si>
    <t>DIAM12/EP1.5</t>
  </si>
  <si>
    <t>GOUJON SOUDER DIAM 5-14 4-8</t>
  </si>
  <si>
    <t>755286760R</t>
  </si>
  <si>
    <t>RENFORT LONGERON AR PARTIE AV</t>
  </si>
  <si>
    <t>764412182R</t>
  </si>
  <si>
    <t>ELEMENT FRMT BAVOLET AR G ASS</t>
  </si>
  <si>
    <t>764C91090R</t>
  </si>
  <si>
    <t>ELEMENT FRMT BAVOLET AR G</t>
  </si>
  <si>
    <t>745988009R</t>
  </si>
  <si>
    <t>RENFORT APPUI CRIC AR</t>
  </si>
  <si>
    <t>745982102R</t>
  </si>
  <si>
    <t>754F50163R</t>
  </si>
  <si>
    <t>SUPPORT ACCROCHAGE G TRANSPORT SBS</t>
  </si>
  <si>
    <t>XE450B</t>
  </si>
  <si>
    <t>G6/6</t>
  </si>
  <si>
    <t>745989357R</t>
  </si>
  <si>
    <t>APPUI CRIC AR G</t>
  </si>
  <si>
    <t>HR380LAD</t>
  </si>
  <si>
    <t>755510915R</t>
  </si>
  <si>
    <t xml:space="preserve">BOITIER FIX G TRAIN AR ASS </t>
  </si>
  <si>
    <t>554C16723R</t>
  </si>
  <si>
    <t>RENFORT INT G FIX TRAIN AR</t>
  </si>
  <si>
    <t>HR460LA</t>
  </si>
  <si>
    <t>Z140</t>
  </si>
  <si>
    <t>755535541R</t>
  </si>
  <si>
    <t>RENFORT EXT G FIX TRAIN AR</t>
  </si>
  <si>
    <t>562261387R</t>
  </si>
  <si>
    <t>DOUILLE FIX TRAIN AR</t>
  </si>
  <si>
    <t>ACIER C16E</t>
  </si>
  <si>
    <t>DIAM 34</t>
  </si>
  <si>
    <t>755514668R</t>
  </si>
  <si>
    <t>RENFORT EXT G FIX TRAIN AR ASS</t>
  </si>
  <si>
    <t>755537178R</t>
  </si>
  <si>
    <t>755511736R</t>
  </si>
  <si>
    <t>BOITIER FIX G TRAIN AR</t>
  </si>
  <si>
    <t>755M75231R</t>
  </si>
  <si>
    <t>EQUERRE INT RFR G TRAIN AR</t>
  </si>
  <si>
    <t>GI60/60</t>
  </si>
  <si>
    <t>745746489R</t>
  </si>
  <si>
    <t>RENFORT ANCRAGE CEINTURE ASS</t>
  </si>
  <si>
    <t>745769287R</t>
  </si>
  <si>
    <t>RENFORT ANCRAGE CEINTURE</t>
  </si>
  <si>
    <t>CR3</t>
  </si>
  <si>
    <t>GI40/40-U</t>
  </si>
  <si>
    <t>ECROU A SOUDER M10X150 10 ROND</t>
  </si>
  <si>
    <t>755116635R</t>
  </si>
  <si>
    <t>LONGERON AR G PARTIE AV ASS 4x4</t>
  </si>
  <si>
    <t>DEM0000549531</t>
  </si>
  <si>
    <t>EL FRMT BAVOLET AR G</t>
  </si>
  <si>
    <t>755105607R</t>
  </si>
  <si>
    <t>LONGERON AR PARTIE AV D ASS</t>
  </si>
  <si>
    <t>755124349R</t>
  </si>
  <si>
    <t>LONGERON AR D PARTIE AV</t>
  </si>
  <si>
    <t>756282552R</t>
  </si>
  <si>
    <t>RENFORT FIX AR RESERVOIR CRBT ASS</t>
  </si>
  <si>
    <t>756391662R</t>
  </si>
  <si>
    <t>RENFORT FIX RESERVOIR</t>
  </si>
  <si>
    <t>755289159R</t>
  </si>
  <si>
    <t>764403515R</t>
  </si>
  <si>
    <t>ELEMENT FRMT BAVOLET AR D ASS</t>
  </si>
  <si>
    <t>764C86734R</t>
  </si>
  <si>
    <t xml:space="preserve">ELEMENT FRMT BAVOLET AR D </t>
  </si>
  <si>
    <t>754F48126R</t>
  </si>
  <si>
    <t>SUPPORT ACCROCHAGE D TRANSPORT SBS</t>
  </si>
  <si>
    <t>764949820R</t>
  </si>
  <si>
    <t>APPUI CRIC AR D</t>
  </si>
  <si>
    <t>755505517R</t>
  </si>
  <si>
    <t>RENFORT 1 INT D TRAIN AR ASS 1</t>
  </si>
  <si>
    <t>554C04167R</t>
  </si>
  <si>
    <t>RENFORT INT D FIX TRAIN AR</t>
  </si>
  <si>
    <t>755521965R</t>
  </si>
  <si>
    <t>RENFORT EXT D FIX TRAIN AR</t>
  </si>
  <si>
    <t>755505845R</t>
  </si>
  <si>
    <t>RENFORT EXT D FIX TRAIN AR ASS</t>
  </si>
  <si>
    <t>755525565R</t>
  </si>
  <si>
    <t>755506467R</t>
  </si>
  <si>
    <t>BOITIER FIX D TRAIN AR</t>
  </si>
  <si>
    <t>755M60780R</t>
  </si>
  <si>
    <t>EQUERRE INT RFR D TRAIN AR</t>
  </si>
  <si>
    <t>1..5</t>
  </si>
  <si>
    <t>751101472R</t>
  </si>
  <si>
    <t>LONGERON AV D ASS</t>
  </si>
  <si>
    <t>DEM0000549038 </t>
  </si>
  <si>
    <t>751320186R</t>
  </si>
  <si>
    <t>ELEMENT FRMT AV LONGERON AV D ASS</t>
  </si>
  <si>
    <t>751264956R</t>
  </si>
  <si>
    <t>RENFORT LONGERON AV D</t>
  </si>
  <si>
    <t xml:space="preserve">not exist </t>
  </si>
  <si>
    <t>751325006R</t>
  </si>
  <si>
    <t>ELEMENT FRMT LONGERON AV D P-ASS</t>
  </si>
  <si>
    <t>751345505R</t>
  </si>
  <si>
    <t>ELEMENT FRMT LONGERON AV D</t>
  </si>
  <si>
    <t>Z140MBO Z140</t>
  </si>
  <si>
    <t>759202254R</t>
  </si>
  <si>
    <t>EL FRMT BOITIER AV D FIX BERCEAU AV ASS</t>
  </si>
  <si>
    <t>759286305R</t>
  </si>
  <si>
    <t>EL FRMT BOITIER D FIX AV BERCEAU</t>
  </si>
  <si>
    <t>751649906R</t>
  </si>
  <si>
    <t>PATTE SUPPORT FLEXIBLE FREIN AV D</t>
  </si>
  <si>
    <t>Z100MBO Z100</t>
  </si>
  <si>
    <t>751109710R</t>
  </si>
  <si>
    <t>LONGERON AV D P-ASS INTM 1</t>
  </si>
  <si>
    <t>751D10202R</t>
  </si>
  <si>
    <t>SUPPORT SUR CAISSE SUSPENSION GMP D ASS</t>
  </si>
  <si>
    <t>751D09499R</t>
  </si>
  <si>
    <t>PLAQUE FIX SUPPORT D SSP GMP CAISSE</t>
  </si>
  <si>
    <t>112128951R</t>
  </si>
  <si>
    <t>SUPPORT SUP SUR SBS SSP GMP P-ASS</t>
  </si>
  <si>
    <t>751D14706R</t>
  </si>
  <si>
    <t>SUPPORT D SUSPENSION GMP</t>
  </si>
  <si>
    <t>ECROU A SOUDER M10X150</t>
  </si>
  <si>
    <t>751000089R</t>
  </si>
  <si>
    <t>LONGERON AV D P-ASS</t>
  </si>
  <si>
    <t>751N81177R</t>
  </si>
  <si>
    <t>LONGERON AV D PARTIE AR</t>
  </si>
  <si>
    <t>G10/10</t>
  </si>
  <si>
    <t>751261907R</t>
  </si>
  <si>
    <t>BOITIER AV D FIX BERCEAU ASS</t>
  </si>
  <si>
    <t>759222353R</t>
  </si>
  <si>
    <t>BOITIER AV D FIX BERCEAU AV</t>
  </si>
  <si>
    <t>Z140-M-B-O Z140</t>
  </si>
  <si>
    <t>751526660R</t>
  </si>
  <si>
    <t>SUPPORT FIX AV D BERCEAU AV ASS</t>
  </si>
  <si>
    <t>751929022R</t>
  </si>
  <si>
    <t>SUPPORT FIX AV D BERCEAU AV</t>
  </si>
  <si>
    <t>ECROU A SOUDER M12X175</t>
  </si>
  <si>
    <t>751103286R</t>
  </si>
  <si>
    <t>LONGERON AV D PARTIE AV ASS</t>
  </si>
  <si>
    <t>751526338R</t>
  </si>
  <si>
    <t>BOITIER INTM D FIX BERCEAU AV</t>
  </si>
  <si>
    <t>751263618R</t>
  </si>
  <si>
    <t>751260163R</t>
  </si>
  <si>
    <t>RENFORT CHOC LONGERON AV D</t>
  </si>
  <si>
    <t>Z140MBO-Z140</t>
  </si>
  <si>
    <t>751121678R</t>
  </si>
  <si>
    <t>LONGERON AV D PARTIE AV</t>
  </si>
  <si>
    <t>ECROU A SERTIR M8X125 8 SA1GS</t>
  </si>
  <si>
    <t>759302719R</t>
  </si>
  <si>
    <t>RENFORT FIX AV D BERCEAU AV ASS</t>
  </si>
  <si>
    <t>751U47526R</t>
  </si>
  <si>
    <t>PLAQUETTE AV D SUPPORT FIX BERCEAU</t>
  </si>
  <si>
    <t>511186499R</t>
  </si>
  <si>
    <t>SUPPORT ANNEAU REMORQUAGE P-ASS</t>
  </si>
  <si>
    <t>511148138R</t>
  </si>
  <si>
    <t>SUPPORT DOUILLE ANNEAU REMORQUAGE AV</t>
  </si>
  <si>
    <t>511148659R</t>
  </si>
  <si>
    <t>DOUILLE REMORQUAGE</t>
  </si>
  <si>
    <t>C16E</t>
  </si>
  <si>
    <t>DIAM34</t>
  </si>
  <si>
    <t>620404080R</t>
  </si>
  <si>
    <t>BOITIER ABSORBEUR CHOC AV D ASS</t>
  </si>
  <si>
    <t>751867395R</t>
  </si>
  <si>
    <t>ELEMENT LIAISON LJR AV D TRV EXTR AV</t>
  </si>
  <si>
    <t>ECROU SOUDER M8X125 CDQ 8 MONTAGE AUTO</t>
  </si>
  <si>
    <t>751111703R</t>
  </si>
  <si>
    <t>LONGERON AV G ASS</t>
  </si>
  <si>
    <t>ELEMENT FRMT LONGERON AV G ASS</t>
  </si>
  <si>
    <t>751659352R</t>
  </si>
  <si>
    <t>PATTE ARRET FLEXIBLE</t>
  </si>
  <si>
    <t>Z100</t>
  </si>
  <si>
    <t>ELEMENT FRMT LONGERON AV G P-ASS</t>
  </si>
  <si>
    <t>751358811R</t>
  </si>
  <si>
    <t>ELEMENT FRMT LONGERON AV G</t>
  </si>
  <si>
    <t>759219708R</t>
  </si>
  <si>
    <t>EL FRMT BOITIER G FIX AV BERCEAU ASS</t>
  </si>
  <si>
    <t>759297721R</t>
  </si>
  <si>
    <t>EL FRMT BOITIER AV G FIX BERCEAU AV</t>
  </si>
  <si>
    <t>1.56
1.2</t>
  </si>
  <si>
    <t>0.54
0.37</t>
  </si>
  <si>
    <t>762C50201R</t>
  </si>
  <si>
    <t>EL LZ AV DBL PIED AV G SUR LJR AV G ASS</t>
  </si>
  <si>
    <t>762C77335R</t>
  </si>
  <si>
    <t>EL LZ AV DBL PIED AV G SUR LJR AV G</t>
  </si>
  <si>
    <t>DC04-A-M</t>
  </si>
  <si>
    <t>GOUJON SOUDE MASSE M6 8-8 IA2GS</t>
  </si>
  <si>
    <t>751112800R</t>
  </si>
  <si>
    <t>LONGERON AV G P-ASS</t>
  </si>
  <si>
    <t>751715741R</t>
  </si>
  <si>
    <t>PARTIE AR LONGERON AV G P-ASS</t>
  </si>
  <si>
    <t>751N98920R</t>
  </si>
  <si>
    <t>LONGERON AV G PARTIE AR</t>
  </si>
  <si>
    <t>751295929R</t>
  </si>
  <si>
    <t>RENFORT LONGERON AV G PARTIE AR</t>
  </si>
  <si>
    <t>HE450+Z140
HR440Y580T-FB || GI60/60</t>
  </si>
  <si>
    <t>751298222R</t>
  </si>
  <si>
    <t>RENFORT COUDE LONGERON G</t>
  </si>
  <si>
    <t>751270814R</t>
  </si>
  <si>
    <t>BOITIER AV G FIX BERCEAU AV ASS</t>
  </si>
  <si>
    <t>752B32415R</t>
  </si>
  <si>
    <t>SUPPORT INF FILTRE AIR</t>
  </si>
  <si>
    <t>759232535R</t>
  </si>
  <si>
    <t>BOITIER AV G FIX BERCEAU AV</t>
  </si>
  <si>
    <t>SUPPORT FIX AV G BERCEAU AV ASS</t>
  </si>
  <si>
    <t>751933014R</t>
  </si>
  <si>
    <t>SUPPORT FIX AV G BERCEAU AV</t>
  </si>
  <si>
    <t>752B29344R</t>
  </si>
  <si>
    <t>SUPPORT SUP FILTRE AIR ASS</t>
  </si>
  <si>
    <t>752B20789R</t>
  </si>
  <si>
    <t>SUPPORT SUP FILTRE AIR</t>
  </si>
  <si>
    <t>751118765R</t>
  </si>
  <si>
    <t>LONGERON AV G PARTIE AV ASS</t>
  </si>
  <si>
    <t>751536242R</t>
  </si>
  <si>
    <t>BOITIER INTM G FIX BERCEAU AV</t>
  </si>
  <si>
    <t>759317115R</t>
  </si>
  <si>
    <t>RENFORT FIX AV G BERCEAU AV ASS</t>
  </si>
  <si>
    <t>751U50707R</t>
  </si>
  <si>
    <t>RENFORT FIX AV G BERCEAU AV</t>
  </si>
  <si>
    <t>VIS A SOUDER M6X100-18 8-8 BP/CYL</t>
  </si>
  <si>
    <t>751132392R</t>
  </si>
  <si>
    <t>LONGERON AV G PARTIE AV</t>
  </si>
  <si>
    <t>HX340LAD</t>
  </si>
  <si>
    <t>112301098R</t>
  </si>
  <si>
    <t>RENFORT AV SUR CS SSP GMP COTE BT ASS</t>
  </si>
  <si>
    <t>751C54352R</t>
  </si>
  <si>
    <t>RENFORT AV G SUR CAISSE SSP GMP</t>
  </si>
  <si>
    <t>751C47372R</t>
  </si>
  <si>
    <t>RENFORT AR G SUR CAISSE SSP GMP ASS</t>
  </si>
  <si>
    <t>751C37022R</t>
  </si>
  <si>
    <t>RENFORT AR G SUR CAISSE SSP GMP</t>
  </si>
  <si>
    <t>620416992R</t>
  </si>
  <si>
    <t>BOITIER ABSORBEUR CHOC AV G ASS</t>
  </si>
  <si>
    <t>751876487R</t>
  </si>
  <si>
    <t>ELEMENT LIAISON LJR AV G TRV EXTR AV</t>
  </si>
  <si>
    <t>753100284R</t>
  </si>
  <si>
    <t xml:space="preserve">LONGERON CTL D SOUS PLANCHER ASS </t>
  </si>
  <si>
    <t>DEM0000541595</t>
  </si>
  <si>
    <t>751740156R</t>
  </si>
  <si>
    <t>LONGERON CTL SOUS PLANCHER</t>
  </si>
  <si>
    <t>_</t>
  </si>
  <si>
    <t>751S82012R</t>
  </si>
  <si>
    <t>PLAQUETTE FIX SUR SOUBASSEMENT ASS</t>
  </si>
  <si>
    <t>625883464R</t>
  </si>
  <si>
    <t>PLAQUETTE FIX SUR SOUBASSEMENT</t>
  </si>
  <si>
    <t>GI40/40</t>
  </si>
  <si>
    <t>751755833R</t>
  </si>
  <si>
    <t>LONGERON CTL G SOUS PLANCHER ASS</t>
  </si>
  <si>
    <t>753A41728R</t>
  </si>
  <si>
    <t>RENFORT LONGERON CTL SOUS PLANCHER</t>
  </si>
  <si>
    <t>756503227R</t>
  </si>
  <si>
    <t>PARCLOSE ASS 4x2</t>
  </si>
  <si>
    <t>DEM0000549641</t>
  </si>
  <si>
    <t>205661178R</t>
  </si>
  <si>
    <t>SUPPORT FIX ECRAN THERMIQUE CAISSE ASS</t>
  </si>
  <si>
    <t>205662038R</t>
  </si>
  <si>
    <t>SUPPORT ECRAN THERMIQUE SOUS CAISSE</t>
  </si>
  <si>
    <t>756501618R</t>
  </si>
  <si>
    <t>PARCLOSE</t>
  </si>
  <si>
    <t>756378951R</t>
  </si>
  <si>
    <t>RENFORT G TRAVERSE PARCLOSE</t>
  </si>
  <si>
    <t>756363287R</t>
  </si>
  <si>
    <t>RENFORT D TRAVERSE PARCLOSE</t>
  </si>
  <si>
    <t>756363056R</t>
  </si>
  <si>
    <t>RENFORT CTL TRAVERSE PARCLOSE</t>
  </si>
  <si>
    <t>7703072426</t>
  </si>
  <si>
    <t>RIVET G 4,8-14  AC</t>
  </si>
  <si>
    <t>510708728R</t>
  </si>
  <si>
    <t>SUPPORT FIX RESERVOIR CARBURANT ASS</t>
  </si>
  <si>
    <t>756546229R</t>
  </si>
  <si>
    <t>SUPPORT D FIX RESERVOIR CARBURANT</t>
  </si>
  <si>
    <t>756305528R</t>
  </si>
  <si>
    <t>PARCLOSE ASS 4x4</t>
  </si>
  <si>
    <t>DEM0000549617</t>
  </si>
  <si>
    <t>PARCLOSE PLANCHER AR</t>
  </si>
  <si>
    <t>174275359R</t>
  </si>
  <si>
    <t>SUPPORT FIX G RESERVOIR CARBURANT ASS</t>
  </si>
  <si>
    <t>172870974R</t>
  </si>
  <si>
    <t>174276742R</t>
  </si>
  <si>
    <t>SUPPORT FIX D RESERVOIR CARBURANT ASS</t>
  </si>
  <si>
    <t>756540097R</t>
  </si>
  <si>
    <t>7703042121</t>
  </si>
  <si>
    <t>00621244-GESTAMP CORDOBA SA</t>
  </si>
  <si>
    <t>745146910R</t>
  </si>
  <si>
    <t>PLANCHER AR PARTIE AR</t>
  </si>
  <si>
    <t>DEM0000542185</t>
  </si>
  <si>
    <t>N/A</t>
  </si>
  <si>
    <t>W2437</t>
  </si>
  <si>
    <t>745742334R</t>
  </si>
  <si>
    <t>DEM0000554768</t>
  </si>
  <si>
    <t>745760601R</t>
  </si>
  <si>
    <t>VIS A SOUDER M10X125-35 10-9</t>
  </si>
  <si>
    <t>671544169R</t>
  </si>
  <si>
    <t>RENFORT FIX PEDALIER ASS</t>
  </si>
  <si>
    <t>DEM0000549044</t>
  </si>
  <si>
    <t>673391783R</t>
  </si>
  <si>
    <t>RENFORT INF G TABLIER</t>
  </si>
  <si>
    <t>671546801R</t>
  </si>
  <si>
    <t>RENFORT FIX PEDALIER P-ASS</t>
  </si>
  <si>
    <t>671558613R</t>
  </si>
  <si>
    <t>RENFORT FIX PEDALIER</t>
  </si>
  <si>
    <t>HC380LA-A-M</t>
  </si>
  <si>
    <t>VIS A SOUDER M8X125-55 8-8</t>
  </si>
  <si>
    <t>756268759R</t>
  </si>
  <si>
    <t>RENFORT FIX RESERVOIR ASS</t>
  </si>
  <si>
    <t>DEM0000553199 </t>
  </si>
  <si>
    <t>W2441</t>
  </si>
  <si>
    <t>745A68442R</t>
  </si>
  <si>
    <t>RENFORT PLANCHER AR</t>
  </si>
  <si>
    <t>174272984R</t>
  </si>
  <si>
    <t>756581242R</t>
  </si>
  <si>
    <t>SUPPORT FIX RESERVOIR CARBURANT</t>
  </si>
  <si>
    <t>641605816R</t>
  </si>
  <si>
    <t>RENFORT FIX SUPPORT BAC BATTERIE ASS</t>
  </si>
  <si>
    <t>DEM0000549046</t>
  </si>
  <si>
    <t>641726794R</t>
  </si>
  <si>
    <t>RENFORT FIX SUPPORT BAC BATTERIE</t>
  </si>
  <si>
    <t>CR300LA</t>
  </si>
  <si>
    <t>GI60/60+CataNoir</t>
  </si>
  <si>
    <t>850403328R</t>
  </si>
  <si>
    <t>SUPPORT BOUCLIER AR SUR SOUBASSEMENT ASS</t>
  </si>
  <si>
    <t>DEM0000551332</t>
  </si>
  <si>
    <t>850447363R</t>
  </si>
  <si>
    <t>SUPPORT BOUCLIER AR SUR SOUBASSEMENT</t>
  </si>
  <si>
    <t xml:space="preserve"> 850402992R</t>
  </si>
  <si>
    <t>DEM0000553127 </t>
  </si>
  <si>
    <t>850445684R</t>
  </si>
  <si>
    <t>648244005R</t>
  </si>
  <si>
    <t>SUPPORT CANISTER ASS</t>
  </si>
  <si>
    <t>DEM0000549043</t>
  </si>
  <si>
    <t>648257153R</t>
  </si>
  <si>
    <t>SUPPORT CANISTER</t>
  </si>
  <si>
    <t>284T01147R</t>
  </si>
  <si>
    <t>SUPPORT CTL BOITIER UNITE PRTC CMTN ASS</t>
  </si>
  <si>
    <t>DEM0000549047</t>
  </si>
  <si>
    <t>284B53269R</t>
  </si>
  <si>
    <t>SUPPORT CTL BOITIER UNITE PRTC CMTN</t>
  </si>
  <si>
    <t>VIS SOUDER M6X100-30 CDQ 6-8 BP CYL</t>
  </si>
  <si>
    <t>174278053R</t>
  </si>
  <si>
    <t>SUPPORT FIX RESERVOIR CARBURANT ASS (4x4)</t>
  </si>
  <si>
    <t>DEM0000551330</t>
  </si>
  <si>
    <t>No created</t>
  </si>
  <si>
    <t>756289533R</t>
  </si>
  <si>
    <t>756405601R</t>
  </si>
  <si>
    <t>TRAVERSE AR SOUS ROUE SECOURS ASS</t>
  </si>
  <si>
    <t>DEM0000541591</t>
  </si>
  <si>
    <t>756425204R</t>
  </si>
  <si>
    <t>TRAVERSE AR SOUS ROUE SECOURS</t>
  </si>
  <si>
    <t>745C63813R</t>
  </si>
  <si>
    <t>745876898R</t>
  </si>
  <si>
    <t>VIS SOUDER M8X125-25 8-8 BP CYL</t>
  </si>
  <si>
    <t>745C12066R</t>
  </si>
  <si>
    <t>TRAVERSE CTL AR PLANCHER AR ASS</t>
  </si>
  <si>
    <t>Pilot ?</t>
  </si>
  <si>
    <t>W2443</t>
  </si>
  <si>
    <t>756137484R</t>
  </si>
  <si>
    <t>TRAVERSE CTL PLANCHER AR</t>
  </si>
  <si>
    <t>Modification</t>
  </si>
  <si>
    <t xml:space="preserve">ECROU SOUDER M8X125 </t>
  </si>
  <si>
    <t>756107386R</t>
  </si>
  <si>
    <t>TRAVERSE EXTREME AR ASS</t>
  </si>
  <si>
    <t>DEM0000549664</t>
  </si>
  <si>
    <t>756129292R</t>
  </si>
  <si>
    <t>TRAVERSE EXTREME AR</t>
  </si>
  <si>
    <t>934769492R</t>
  </si>
  <si>
    <t>RENFORT ARTICULATION RIDELLE ASS</t>
  </si>
  <si>
    <t>935A18602R</t>
  </si>
  <si>
    <t>RENFORT ARTICULATION RIDELLE</t>
  </si>
  <si>
    <t>934769397R</t>
  </si>
  <si>
    <t>935A11512R</t>
  </si>
  <si>
    <t>572081015R</t>
  </si>
  <si>
    <t>SUPPORT TREUIL ROUE SECOURS ASS</t>
  </si>
  <si>
    <t>572120899R</t>
  </si>
  <si>
    <t>SUPPORT TREUIL ROUE SECOURS</t>
  </si>
  <si>
    <t>762587712R</t>
  </si>
  <si>
    <t>EQUERRE</t>
  </si>
  <si>
    <t>938L28361R</t>
  </si>
  <si>
    <t>RENFORT MARCHEPIED AR</t>
  </si>
  <si>
    <t>938384937R</t>
  </si>
  <si>
    <t>MARCHEPIED AR ASS</t>
  </si>
  <si>
    <t>938380975R</t>
  </si>
  <si>
    <t>MARCHEPIED AR</t>
  </si>
  <si>
    <t>ECROU A SERTIR M6X100 6</t>
  </si>
  <si>
    <t>62010J668R</t>
  </si>
  <si>
    <t>TRAVERSE EXTREME AV ASS</t>
  </si>
  <si>
    <t>DEM0000549045</t>
  </si>
  <si>
    <t>752122225R</t>
  </si>
  <si>
    <t>TRAVERSE EXTREME AV</t>
  </si>
  <si>
    <t>752228913R</t>
  </si>
  <si>
    <t>RENFORT TRAVERSE EXTREME AV</t>
  </si>
  <si>
    <t>752423256R</t>
  </si>
  <si>
    <t>ELEMENT FRMT TRAVERSE EXTREME AV</t>
  </si>
  <si>
    <t>VIS A SOUDER M6X100-20 8-8 BP CYL</t>
  </si>
  <si>
    <t>745405749R</t>
  </si>
  <si>
    <t>TRAVERSE SUPPORT FIX SIEGE AR ASS</t>
  </si>
  <si>
    <t>DEM0000541593</t>
  </si>
  <si>
    <t>745428591R</t>
  </si>
  <si>
    <t>TRAVERSE SUPPORT FIX SIEGE AR</t>
  </si>
  <si>
    <t xml:space="preserve">794B27298R </t>
  </si>
  <si>
    <t>FIL ANCRAGE SIEGE ENFANT</t>
  </si>
  <si>
    <t>diam 6</t>
  </si>
  <si>
    <t xml:space="preserve">794721540R </t>
  </si>
  <si>
    <t>SUPPORT ACCROCHAGE SJ ENF 2 RNG</t>
  </si>
  <si>
    <t>CR380LA</t>
  </si>
  <si>
    <t>745408041R</t>
  </si>
  <si>
    <t>RENFORT FIX SIEGE AR ASS</t>
  </si>
  <si>
    <t>745427566R</t>
  </si>
  <si>
    <t>RENFORT FIX SIEGE AR</t>
  </si>
  <si>
    <t>CR380 LA</t>
  </si>
  <si>
    <t xml:space="preserve">ECROU A SOUDER M6X100  </t>
  </si>
  <si>
    <t>743109189R</t>
  </si>
  <si>
    <t>TUNNEL ASS 4X2</t>
  </si>
  <si>
    <t>DEM0000549040 </t>
  </si>
  <si>
    <t>743572734R</t>
  </si>
  <si>
    <t>TRAVERSE CTL SOUS TUNNEL</t>
  </si>
  <si>
    <t>743237282R</t>
  </si>
  <si>
    <t>RENFORT AV G TUNNEL</t>
  </si>
  <si>
    <t>743103251R</t>
  </si>
  <si>
    <t>TUNNEL</t>
  </si>
  <si>
    <t>743460545R</t>
  </si>
  <si>
    <t>RENFORT TUNNEL PARTIE AR</t>
  </si>
  <si>
    <t>743F35850R</t>
  </si>
  <si>
    <t>RENFORT LONGERONNET G TUNNEL</t>
  </si>
  <si>
    <t>200201451R</t>
  </si>
  <si>
    <t>RENFORT LONGERONNET D TUNNEL ASS</t>
  </si>
  <si>
    <t>207629360R</t>
  </si>
  <si>
    <t>FIL SUPPORT CTL ECHAPPEMENT</t>
  </si>
  <si>
    <t>DIAM 12/Ep 1.5</t>
  </si>
  <si>
    <t>743F21555R</t>
  </si>
  <si>
    <t>RENFORT LONGERONNET D TUNNEL</t>
  </si>
  <si>
    <t>743704693R</t>
  </si>
  <si>
    <t>RENFORT TUNNEL ASS</t>
  </si>
  <si>
    <t>743707367R</t>
  </si>
  <si>
    <t>RENFORT TUNNEL P-ASS 1</t>
  </si>
  <si>
    <t>VIS A SOUDER M6X100-25 8-8 BP CYL</t>
  </si>
  <si>
    <t>743721970R</t>
  </si>
  <si>
    <t>RENFORT TUNNEL</t>
  </si>
  <si>
    <t>CR380LA-UC-U</t>
  </si>
  <si>
    <t>FLASQUE SUPPORT TRV COLONNE DRC P-ASS</t>
  </si>
  <si>
    <t>ECROU A SOUDER DIAM 8 DE MASSE 8</t>
  </si>
  <si>
    <t>671513477R</t>
  </si>
  <si>
    <t>SUPPORT TRAVERSE COLONNE DRC</t>
  </si>
  <si>
    <t>743540593R</t>
  </si>
  <si>
    <t>RENFORT FREIN STATIONNEMENT ASS</t>
  </si>
  <si>
    <t>VIS SOUDER M8X125-30 BP-CYL-CNQ</t>
  </si>
  <si>
    <t>743553301R</t>
  </si>
  <si>
    <t>RENFORT FREIN STATIONNEMENT</t>
  </si>
  <si>
    <t>743578249R</t>
  </si>
  <si>
    <t>SUPPORT FREIN PARKING</t>
  </si>
  <si>
    <t>743221444R</t>
  </si>
  <si>
    <t>RENFORT TUNNEL PARTIE AV ASS</t>
  </si>
  <si>
    <t>743220094R</t>
  </si>
  <si>
    <t>RENFORT TUNNEL PARTIE AV</t>
  </si>
  <si>
    <t>743226245R</t>
  </si>
  <si>
    <t>RENFORT TUNNEL PARTIE AV G</t>
  </si>
  <si>
    <t>743101616R</t>
  </si>
  <si>
    <t>TUNNEL ASS 4X4</t>
  </si>
  <si>
    <t>DEM0000549042</t>
  </si>
  <si>
    <t>TRAVERSE CTL SOUS TUNNEL ASS</t>
  </si>
  <si>
    <t>745A26027R</t>
  </si>
  <si>
    <t>1.8
2.94</t>
  </si>
  <si>
    <t>339137670R</t>
  </si>
  <si>
    <t>RENFORT G FIX PALIER RELAIS TRANSMISSION ASS</t>
  </si>
  <si>
    <t>339139851R</t>
  </si>
  <si>
    <t>RENFORT G FIX PALIER RELAIS TRANSMISSION</t>
  </si>
  <si>
    <t>339128921R</t>
  </si>
  <si>
    <t>RENFORT D FIX PALIER RELAIS TRANSMISSION ASS</t>
  </si>
  <si>
    <t>339121466R</t>
  </si>
  <si>
    <t>RENFORT D FIX PALIER RELAIS TRANSMISSION</t>
  </si>
  <si>
    <r>
      <t xml:space="preserve"> </t>
    </r>
    <r>
      <rPr>
        <b/>
        <i/>
        <sz val="26"/>
        <color rgb="FFFF6326"/>
        <rFont val="Calibri"/>
        <family val="2"/>
        <scheme val="minor"/>
      </rPr>
      <t>e-RGPQP Control</t>
    </r>
    <r>
      <rPr>
        <b/>
        <sz val="26"/>
        <color theme="1"/>
        <rFont val="Calibri"/>
        <family val="2"/>
        <scheme val="minor"/>
      </rPr>
      <t xml:space="preserve"> - H1312</t>
    </r>
  </si>
  <si>
    <t>DELIVERABLE</t>
  </si>
  <si>
    <t>2.1</t>
  </si>
  <si>
    <t xml:space="preserve"> 2.2</t>
  </si>
  <si>
    <t>2.3</t>
  </si>
  <si>
    <t>2.4</t>
  </si>
  <si>
    <t>2.5</t>
  </si>
  <si>
    <t>2.6</t>
  </si>
  <si>
    <t>SSD</t>
  </si>
  <si>
    <t>ENG</t>
  </si>
  <si>
    <t>COMP</t>
  </si>
  <si>
    <t>PROC</t>
  </si>
  <si>
    <t>PQTSP-Product Quality Targets Study Plan</t>
  </si>
  <si>
    <t>PRTSP-Product Reliability Targets Study Plan</t>
  </si>
  <si>
    <t>CSCC-Component Supply Chain Chart</t>
  </si>
  <si>
    <t xml:space="preserve">SCD-Supplier Contact Directory </t>
  </si>
  <si>
    <t xml:space="preserve">SMS-Supplier Master Schedule </t>
  </si>
  <si>
    <t xml:space="preserve"> SPPMP/SR-Supplier Production Preparation Monitoring Plan/Status Report</t>
  </si>
  <si>
    <t>PCP-Production Capacity Plan</t>
  </si>
  <si>
    <t>SMS Main Dates</t>
  </si>
  <si>
    <t>Design FMEA or DRBFM</t>
  </si>
  <si>
    <t xml:space="preserve">HCPP </t>
  </si>
  <si>
    <t xml:space="preserve">SFC-Supplier Feasibility Commitment </t>
  </si>
  <si>
    <t>Engineering Product Specifications &amp; Engineering Drawings / CAD data</t>
  </si>
  <si>
    <t>SR-Supplier Recommendations</t>
  </si>
  <si>
    <t>Process FMEA</t>
  </si>
  <si>
    <t xml:space="preserve"> CP-Control Plan</t>
  </si>
  <si>
    <t>PFC-Process Flow Chart</t>
  </si>
  <si>
    <t xml:space="preserve">GSS-Gauge Specification Sheet </t>
  </si>
  <si>
    <t>PCSP-Process Capability Study Plan</t>
  </si>
  <si>
    <t xml:space="preserve">STPR-Supplier Test Plan and Report </t>
  </si>
  <si>
    <t>IR - Inspetion Repórt</t>
  </si>
  <si>
    <t>Risks</t>
  </si>
  <si>
    <t>RO</t>
  </si>
  <si>
    <t>2D DRAWING</t>
  </si>
  <si>
    <t>DEMARCHE</t>
  </si>
  <si>
    <t>PILOT PART</t>
  </si>
  <si>
    <t>PILOTED PART</t>
  </si>
  <si>
    <t>PART NAME ENG</t>
  </si>
  <si>
    <t>PART NAME FR</t>
  </si>
  <si>
    <t>SUPPLIER</t>
  </si>
  <si>
    <t>PART CAT</t>
  </si>
  <si>
    <t>RISK</t>
  </si>
  <si>
    <t>Product</t>
  </si>
  <si>
    <t>Process</t>
  </si>
  <si>
    <t>Capacity</t>
  </si>
  <si>
    <t>Wxx</t>
  </si>
  <si>
    <t>2Dxxxxxx</t>
  </si>
  <si>
    <t>HSG ASSY-RR SUBFRAME MTG,FR LH</t>
  </si>
  <si>
    <t>FUMISCOR</t>
  </si>
  <si>
    <t>Abandoned</t>
  </si>
  <si>
    <t>M</t>
  </si>
  <si>
    <t>HIGH</t>
  </si>
  <si>
    <t>MEDIUM</t>
  </si>
  <si>
    <t>R003 R004 R074</t>
  </si>
  <si>
    <t>W40</t>
  </si>
  <si>
    <t>2DX0P6GVLR</t>
  </si>
  <si>
    <t>DEM0000541591 </t>
  </si>
  <si>
    <t>MBR ASSY-CROSS,SPARE WHEEL</t>
  </si>
  <si>
    <t>S</t>
  </si>
  <si>
    <t>R013 R023 R024 R067</t>
  </si>
  <si>
    <t>W39</t>
  </si>
  <si>
    <t>2DX0PJENVR</t>
  </si>
  <si>
    <t>MBR ASSY-CROSS,RR SEAT MTG</t>
  </si>
  <si>
    <t>LOW</t>
  </si>
  <si>
    <t>R004 R013 R020 R023 R024 R067</t>
  </si>
  <si>
    <t>W37</t>
  </si>
  <si>
    <t>2DX0QKQL5R</t>
  </si>
  <si>
    <t>MBR ASSY-SIDE,UNDER FLOOR,CTR LH</t>
  </si>
  <si>
    <t>FLOOR-RR PART,RR</t>
  </si>
  <si>
    <t>GESTAMP</t>
  </si>
  <si>
    <t>XL</t>
  </si>
  <si>
    <t>-</t>
  </si>
  <si>
    <t>W42</t>
  </si>
  <si>
    <t>2DX0Q6QHVR</t>
  </si>
  <si>
    <t>BAFFLE ASSY-HEATER</t>
  </si>
  <si>
    <t>2DX0QH5HAR</t>
  </si>
  <si>
    <t>DEM0000549038</t>
  </si>
  <si>
    <t>SIDE MBR ASSY-FR LH</t>
  </si>
  <si>
    <t>DEM0000549039</t>
  </si>
  <si>
    <t>MBR ASSY-FR RH SIDE,FR PART</t>
  </si>
  <si>
    <t>2DX0Q7BEWR</t>
  </si>
  <si>
    <t>TUNNEL-ASSY</t>
  </si>
  <si>
    <t>W41</t>
  </si>
  <si>
    <t>2DX0QH33LR</t>
  </si>
  <si>
    <t>BRKT ASSY-CANISTER</t>
  </si>
  <si>
    <t>2DX0QJR97R</t>
  </si>
  <si>
    <t>REINF ASSY-PEDAL BRKT MTG</t>
  </si>
  <si>
    <t>2DX0QAQ86R</t>
  </si>
  <si>
    <t>MBR ASSY-CROSS,FR UNIT END</t>
  </si>
  <si>
    <t>L</t>
  </si>
  <si>
    <t>2DX0QE643R</t>
  </si>
  <si>
    <t>BRKT ASSY-BAT TRAY ON BODY</t>
  </si>
  <si>
    <t>2DX0QEKNSR</t>
  </si>
  <si>
    <t>BRKT ASSY-USM CONT BOX,CTR</t>
  </si>
  <si>
    <t>W38</t>
  </si>
  <si>
    <t>2DX0QD255R</t>
  </si>
  <si>
    <t>REINF ASSY-FR LH SHOCK ABS CUP RISER</t>
  </si>
  <si>
    <t>RENFORT REHAUSSE COUPELLE AMR AV G ASS</t>
  </si>
  <si>
    <t>W36</t>
  </si>
  <si>
    <t>2DX0PPPRJR / 
2DX0PNTT8R</t>
  </si>
  <si>
    <t>MBR ASSY-RR LH SIDE,FR PART</t>
  </si>
  <si>
    <t>2DX0PPPRJR</t>
  </si>
  <si>
    <t>LONGERON AR G PARTIE AV ASS 4X4</t>
  </si>
  <si>
    <t>2DX0PHU2VR</t>
  </si>
  <si>
    <t>MBR ASSY-RR SIDE,RR LH PART</t>
  </si>
  <si>
    <t>2DX0PC4U9R</t>
  </si>
  <si>
    <t>WALL ASSY-KICK UP</t>
  </si>
  <si>
    <t>2DX0PC811R</t>
  </si>
  <si>
    <t>WALL ASSY-KICK UP, RR FLOOR</t>
  </si>
  <si>
    <t>2DX0PDEDMR</t>
  </si>
  <si>
    <t>MBR ASSY-RR CROSS,OTR</t>
  </si>
  <si>
    <t>2DX0MCW6AR /002</t>
  </si>
  <si>
    <t>DEM0000549809</t>
  </si>
  <si>
    <t>DEM0000550422 </t>
  </si>
  <si>
    <t>2DX0PBAN3R</t>
  </si>
  <si>
    <t>BRKT ASSY-FUEL TANK MTG</t>
  </si>
  <si>
    <t>2DX0P8PHER</t>
  </si>
  <si>
    <t>BRKT ASSY-RR BMPR ON SUBFRAME</t>
  </si>
  <si>
    <t>2DX0P9H4FR</t>
  </si>
  <si>
    <t>DEM0000553124 </t>
  </si>
  <si>
    <t>850402992R  </t>
  </si>
  <si>
    <t>DEM0000553193 </t>
  </si>
  <si>
    <t>850403328R  </t>
  </si>
  <si>
    <t xml:space="preserve">DEM0000553194 </t>
  </si>
  <si>
    <t>174278053R  </t>
  </si>
  <si>
    <t>2DX0P4335R</t>
  </si>
  <si>
    <t>756268759R  </t>
  </si>
  <si>
    <t>REINF ASSY-TANK MTG</t>
  </si>
  <si>
    <t>2DX0S1T87R</t>
  </si>
  <si>
    <t>REINF ASSY-SEAT BELT ANCH</t>
  </si>
  <si>
    <t>R002 R013 R023 R024 R067</t>
  </si>
  <si>
    <t>DOCS OK</t>
  </si>
  <si>
    <t>NO Delivered</t>
  </si>
  <si>
    <t>K10</t>
  </si>
  <si>
    <t>K50</t>
  </si>
  <si>
    <t>Awaiting Judgement</t>
  </si>
  <si>
    <t>Validated Document</t>
  </si>
  <si>
    <t>Validated with K10</t>
  </si>
  <si>
    <t>Validated with K50</t>
  </si>
  <si>
    <t>Awaiting validation (RENAULT)</t>
  </si>
  <si>
    <t>Without documentation (DELAYED)</t>
  </si>
  <si>
    <t>Document Loaded. Non necesary judgement</t>
  </si>
  <si>
    <t>Not required</t>
  </si>
  <si>
    <t>With Remarks</t>
  </si>
  <si>
    <t xml:space="preserve"> </t>
  </si>
  <si>
    <r>
      <t>GFE12 Deliverables Planning - TOP RO</t>
    </r>
    <r>
      <rPr>
        <b/>
        <u/>
        <sz val="22"/>
        <rFont val="Arial"/>
        <family val="2"/>
      </rPr>
      <t xml:space="preserve">  W2436/38 </t>
    </r>
    <r>
      <rPr>
        <b/>
        <sz val="22"/>
        <rFont val="Arial"/>
        <family val="2"/>
      </rPr>
      <t>- RGPQP</t>
    </r>
  </si>
  <si>
    <t>Delivered documents dates</t>
  </si>
  <si>
    <t>W2434</t>
  </si>
  <si>
    <t>W2435</t>
  </si>
  <si>
    <t>Planning over RNPQP</t>
  </si>
  <si>
    <t>Phase 2.1</t>
  </si>
  <si>
    <t>Phase 2.2</t>
  </si>
  <si>
    <t>Phase 2.3</t>
  </si>
  <si>
    <t>Phase 2.4</t>
  </si>
  <si>
    <t>Phase 2.5</t>
  </si>
  <si>
    <t>CP - Control Plan</t>
  </si>
  <si>
    <t>PFC - Process Flow Chart</t>
  </si>
  <si>
    <t>Phase 2.6</t>
  </si>
  <si>
    <t>TOP RO - W2438</t>
  </si>
  <si>
    <t>1. RENFORT COUPELLE AMORTISSEUR AV G ASS 641277376R - TOP RO W2438  - /2DX0QD255R  20.09.2024</t>
  </si>
  <si>
    <t>2. LONGERON AV D ASS 751101472R - TOP RO W2438 -  20.09.2024</t>
  </si>
  <si>
    <t>3. LONGERON AV G ASS  7751111703R - TOP RO W2438 -   20.09.2024</t>
  </si>
  <si>
    <t>4. LONGERON CTL G/D SOUS PLANCHER ASS 751755833R/753100284R - TOP RO W2438  - 20.09.2024</t>
  </si>
  <si>
    <t>TOP RO - W2439 </t>
  </si>
  <si>
    <t>5. TUNNEL ASS 4X2/4x4 743109189R/743101616R - TOP RO W2439 --&gt; OK  27.09.2024</t>
  </si>
  <si>
    <r>
      <t>6. TRAVERSE SUPPORT FIX SIEGE AR ASS 745405749R - </t>
    </r>
    <r>
      <rPr>
        <b/>
        <sz val="9"/>
        <color rgb="FF000000"/>
        <rFont val="Calibri"/>
        <family val="2"/>
      </rPr>
      <t>TOP RO W2439 -</t>
    </r>
    <r>
      <rPr>
        <sz val="9"/>
        <color rgb="FF000000"/>
        <rFont val="Calibri"/>
        <family val="2"/>
      </rPr>
      <t> 27.09.2024 -</t>
    </r>
  </si>
  <si>
    <t>7. SUPPORT FIX RESERVOIR CARBURANT ASS 174278053R - TOP RO W2439 --&gt; 27.09.2024</t>
  </si>
  <si>
    <t>8. LONGERON AR G PARTIE AR ASS   755154759R   - TOP RO W2439--&gt;  27.09.2024</t>
  </si>
  <si>
    <t>9. LONGERON AR D PARTIE AR ASS   755146051R - TOP RO W2439 --&gt;  27.09.2024</t>
  </si>
  <si>
    <t>TOP RO - W2440</t>
  </si>
  <si>
    <t>10. RENFORT FIX SUPPORT BAC BATTERIE ASS 641605816R  - TOP RO W2440 -  --&gt; 04.10.2024</t>
  </si>
  <si>
    <t>11. TRAVERSE AR SOUS ROUE SECOURS ASS 756405601R - TOP RO W2440 --&gt; 04.10.2024</t>
  </si>
  <si>
    <t>12. RENFORT ANCRAGE CEINTURE ASS 745742334R - TOP RO W2440 --&gt; 04.10.2024</t>
  </si>
  <si>
    <t>13. BOITIER AV G/D FIX BERCEAU AR ASS  755259189R/755240818R - TOP RO W2440  --&gt;  04.10.2024  -</t>
  </si>
  <si>
    <t>TOP RO - W2441</t>
  </si>
  <si>
    <t>14. SUPPORT CTL BOITIER UNITE PRTC CMTN ASS  284T01147R - TOP RO W2441 --&gt; 11.10.2024 </t>
  </si>
  <si>
    <t>15. SUPPORT CANISTER ASS 648244005R - TOP RO W2441    - / 2DX0QH33LR  - 11.10.2024</t>
  </si>
  <si>
    <t>16. TRAVERSE PLANCHER AR PARTIE AV ASS  756268759R - TOP RO W2441 --&gt;  11.10.2024</t>
  </si>
  <si>
    <t>17. SUPPORT BOUCLIER AR SUR SOUBASSEMENT ASS  850402992R - TOP RO W2441 --&gt; 11.10.2024</t>
  </si>
  <si>
    <t>TOP RO - W2442</t>
  </si>
  <si>
    <t>18. SUPPORT BOUCLIER AR SUR SOUBASSEMENT ASS 850403328R - TOP RO W2442 --&gt; 18.10.2024 </t>
  </si>
  <si>
    <t>19. CLOISON CHAUFFAGE ASS 661002209R - TOP RO W2442 - 18.10.2024</t>
  </si>
  <si>
    <t>20. RENFORT FIX PEDALIER ASS 671544169R  - TOP RO W2442  -  /2DX0QJR97R - 18.10.2024</t>
  </si>
  <si>
    <t>21. TRAVERSE EXTREME AV ASS 62010J668R  - TOP RO W2438 -  2DX0QAQ86R --&gt; 18.10.2024</t>
  </si>
  <si>
    <t>  </t>
  </si>
  <si>
    <t>TOP RO - W2443</t>
  </si>
  <si>
    <t>22. ELEMENT FRMT BAVOLET AV G/D ASS 764118538R/764107289R - TOP RO W2443 --&gt;  25.10.2024</t>
  </si>
  <si>
    <t>23. TRAVERSE CTL AR PLANCHER AR ASS 745C12066R - TOP RO W2443  --&gt; 25.10.2024</t>
  </si>
  <si>
    <t>Valores</t>
  </si>
  <si>
    <t>Niveles</t>
  </si>
  <si>
    <t>Deact.</t>
  </si>
  <si>
    <t>Proced</t>
  </si>
  <si>
    <t>TEC</t>
  </si>
  <si>
    <t>TS E235 +N</t>
  </si>
  <si>
    <t>CR340LA</t>
  </si>
  <si>
    <t>751331589R</t>
  </si>
  <si>
    <t>678155068R
new  specefic H1312</t>
  </si>
  <si>
    <t>678168438R</t>
  </si>
  <si>
    <t>DIAM 12/Ep1.5</t>
  </si>
  <si>
    <t>1.8</t>
  </si>
  <si>
    <t>new  specefic H1312</t>
  </si>
  <si>
    <t>black cataphoresis</t>
  </si>
  <si>
    <t xml:space="preserve">
RENFORT FIX ROUE SECOURS ASS</t>
  </si>
  <si>
    <t xml:space="preserve">
RENFORT FIX ROUE SECOURS</t>
  </si>
  <si>
    <t>ECROU A SOUDER M10X150 8 ROND</t>
  </si>
  <si>
    <t>C15D</t>
  </si>
  <si>
    <t>W2444</t>
  </si>
  <si>
    <t>W2445</t>
  </si>
  <si>
    <t>Indice</t>
  </si>
  <si>
    <t>Local_ID</t>
  </si>
  <si>
    <t>PartNumber</t>
  </si>
  <si>
    <t>Thickness</t>
  </si>
  <si>
    <t>VEH_mass</t>
  </si>
  <si>
    <t>RGPQP_File</t>
  </si>
  <si>
    <t>RGPQP_PnType</t>
  </si>
  <si>
    <t>RGPQP_Status</t>
  </si>
  <si>
    <t>TopRO</t>
  </si>
  <si>
    <t>Assembly</t>
  </si>
  <si>
    <t>HR300LA</t>
  </si>
  <si>
    <t>HR340LA</t>
  </si>
  <si>
    <t>CR420LA</t>
  </si>
  <si>
    <t>HX300LAD</t>
  </si>
  <si>
    <t>HE450M</t>
  </si>
  <si>
    <t>HR380LA</t>
  </si>
  <si>
    <t>HR420LA</t>
  </si>
  <si>
    <t>HX420LAD</t>
  </si>
  <si>
    <t>CR210BH</t>
  </si>
  <si>
    <t>CR460LA</t>
  </si>
  <si>
    <t>Z140MBO + Cata</t>
  </si>
  <si>
    <t xml:space="preserve"> GI60/60</t>
  </si>
  <si>
    <t>LONGERON CTL D SOUS PLANCHER ASS</t>
  </si>
  <si>
    <t>Parent</t>
  </si>
  <si>
    <t>002</t>
  </si>
  <si>
    <t>003</t>
  </si>
  <si>
    <t/>
  </si>
  <si>
    <t>006</t>
  </si>
  <si>
    <t>005</t>
  </si>
  <si>
    <t>004</t>
  </si>
  <si>
    <t>001</t>
  </si>
  <si>
    <t>008</t>
  </si>
  <si>
    <t>010</t>
  </si>
  <si>
    <t>007</t>
  </si>
  <si>
    <t>009</t>
  </si>
  <si>
    <t>011</t>
  </si>
  <si>
    <t>-B3</t>
  </si>
  <si>
    <t xml:space="preserve">02 </t>
  </si>
  <si>
    <t xml:space="preserve"> ---</t>
  </si>
  <si>
    <t xml:space="preserve">  --</t>
  </si>
  <si>
    <t xml:space="preserve"> --B</t>
  </si>
  <si>
    <t xml:space="preserve"> --A</t>
  </si>
  <si>
    <t xml:space="preserve"> --E</t>
  </si>
  <si>
    <t xml:space="preserve"> --C</t>
  </si>
  <si>
    <t xml:space="preserve"> --D</t>
  </si>
  <si>
    <t xml:space="preserve"> --G</t>
  </si>
  <si>
    <t xml:space="preserve"> --F</t>
  </si>
  <si>
    <t xml:space="preserve"> --K</t>
  </si>
  <si>
    <t xml:space="preserve"> -- </t>
  </si>
  <si>
    <t>Supplier Tier 2</t>
  </si>
  <si>
    <t>CLIENT</t>
  </si>
  <si>
    <t>Part Number</t>
  </si>
  <si>
    <t xml:space="preserve">OBS 
PFE GFE12 </t>
  </si>
  <si>
    <t>METALURGICA PASCHOAL LTDA.</t>
  </si>
  <si>
    <t>OK</t>
  </si>
  <si>
    <t>POLISTAMPO INDUSTRIA METALUR Brasil</t>
  </si>
  <si>
    <t>TOWER</t>
  </si>
  <si>
    <t>GMD METAL TANGER</t>
  </si>
  <si>
    <t>GMD Tanger</t>
  </si>
  <si>
    <t>NISSAN MEXICANA SA DE CV</t>
  </si>
  <si>
    <t>COSKUNOZ RO</t>
  </si>
  <si>
    <t>COSKUNOZ MA SRL ROMANIA</t>
  </si>
  <si>
    <t>SC SILDVB COM AS</t>
  </si>
  <si>
    <t>OSKUNOZ METAL FORM MAK END</t>
  </si>
  <si>
    <t>SILDVB</t>
  </si>
  <si>
    <t>MUSA PITESTI ROMANIA</t>
  </si>
  <si>
    <t>Coskunoz RU</t>
  </si>
  <si>
    <t>SC GIC NOSAG METAL SRL</t>
  </si>
  <si>
    <t>SC SILDVB COM SA</t>
  </si>
  <si>
    <t>SC MUSA PITESTI 96 SA</t>
  </si>
  <si>
    <t>COSKUNOZ METAL FORM MAK END TURKIYE</t>
  </si>
  <si>
    <t>COSKUNOZ TURKIYE</t>
  </si>
  <si>
    <t>GESTAMP Brasil</t>
  </si>
  <si>
    <t>CURITIBA plant</t>
  </si>
  <si>
    <t>MUSA</t>
  </si>
  <si>
    <t>745613479R</t>
  </si>
  <si>
    <t>511969788R</t>
  </si>
  <si>
    <t>RENFORT FIX ATTELAGE CARAVANE ASS</t>
  </si>
  <si>
    <t>CO HJF</t>
  </si>
  <si>
    <t>Romaine plant</t>
  </si>
  <si>
    <t>794B25799R</t>
  </si>
  <si>
    <t>GIC NOSAG Romania</t>
  </si>
  <si>
    <t>RENFORT TABLIER G</t>
  </si>
  <si>
    <t>GIC NOSAG ROMANIA</t>
  </si>
  <si>
    <t>Add</t>
  </si>
  <si>
    <t xml:space="preserve">GESTAMP </t>
  </si>
  <si>
    <t>511761925R</t>
  </si>
  <si>
    <t>CELIKFORM OTOMOTIV AS</t>
  </si>
  <si>
    <t>BENTELER COMPONENTES AUTOM</t>
  </si>
  <si>
    <t>COSKUNOZ MA</t>
  </si>
  <si>
    <t>751316315R</t>
  </si>
  <si>
    <t>Total</t>
  </si>
  <si>
    <t>Coef.</t>
  </si>
  <si>
    <t>Mass</t>
  </si>
  <si>
    <t>n/a</t>
  </si>
  <si>
    <t>FUMISCOR S.A.</t>
  </si>
  <si>
    <t>GESTAMP CORDOBA SA</t>
  </si>
  <si>
    <t>COSKUNOZ METAL FORM MAK END</t>
  </si>
  <si>
    <t>COSKUNOZ</t>
  </si>
  <si>
    <t>ALCOR</t>
  </si>
  <si>
    <t>SCMUSA</t>
  </si>
  <si>
    <t>SILDVBCOM</t>
  </si>
  <si>
    <t>Buy w/o contract</t>
  </si>
  <si>
    <t>GFE number</t>
  </si>
  <si>
    <t>Final part number</t>
  </si>
  <si>
    <t>Final part designation FR</t>
  </si>
  <si>
    <t>Final part designation EN</t>
  </si>
  <si>
    <t>Quantity</t>
  </si>
  <si>
    <t>Reuse category (COCA)</t>
  </si>
  <si>
    <t>F3 NEEDED FOR H1312?
YES / NO / TBC / NA</t>
  </si>
  <si>
    <t>Expected sourcing country</t>
  </si>
  <si>
    <t>MIX - Forecast Diversity</t>
  </si>
  <si>
    <t>MIX %</t>
  </si>
  <si>
    <t>Direct buy/SAS</t>
  </si>
  <si>
    <t>756522048R</t>
  </si>
  <si>
    <t>MBR-RR UNDER SPARE WHEEL</t>
  </si>
  <si>
    <t>Carry-Over</t>
  </si>
  <si>
    <t>YES</t>
  </si>
  <si>
    <t>PASCHOAL</t>
  </si>
  <si>
    <t>Brasil</t>
  </si>
  <si>
    <t>X1312/DCB</t>
  </si>
  <si>
    <t>Direct buy</t>
  </si>
  <si>
    <t>743301845R</t>
  </si>
  <si>
    <t>TRAVERSE SOUS SIEGE AV D ASS</t>
  </si>
  <si>
    <t>MBR ASSY- FR SEAT CROSS,FR RH</t>
  </si>
  <si>
    <t>754309901R</t>
  </si>
  <si>
    <t>TRAVERSE AR D SOUS SIEGE AV ASS</t>
  </si>
  <si>
    <t>MBR ASSY-CROSS,RR RH UNDER FR SEAT</t>
  </si>
  <si>
    <t>743312890R</t>
  </si>
  <si>
    <t>TRAVERSE AV SOUS SIEGE AV G ASS</t>
  </si>
  <si>
    <t>MBR ASS- FR SEAT CROSS,FR LH</t>
  </si>
  <si>
    <t>754314310R</t>
  </si>
  <si>
    <t>TRAVERSE AR G SOUS SIEGE AV ASS</t>
  </si>
  <si>
    <t>MBR ASSY-CROSS,RR LH UNDER FR SEAT</t>
  </si>
  <si>
    <t>242391983R</t>
  </si>
  <si>
    <t>SUPPORT MULTIFONCTION 3 CPRTM MOTEUR ASS</t>
  </si>
  <si>
    <t>BRKT ASSY-MTG,MULTIFONCTION ON SUBFRAME</t>
  </si>
  <si>
    <t>752160283R</t>
  </si>
  <si>
    <t>TRAVERSE LAT AV D ASS</t>
  </si>
  <si>
    <t>MBR ASSY-CROSS,FR SIDE RH</t>
  </si>
  <si>
    <t xml:space="preserve">TOWER AUTOMOTIVE </t>
  </si>
  <si>
    <t>752175108R</t>
  </si>
  <si>
    <t>TRAVERSE LAT AV G ASS</t>
  </si>
  <si>
    <t>MBR ASSY-CROSS,FR SIDE LH</t>
  </si>
  <si>
    <t>759405327R</t>
  </si>
  <si>
    <t>BOITIER AR D FIX BERCEAU AV ASS</t>
  </si>
  <si>
    <t>HSG ASSY-FR SUBFRAME RR RH MTG</t>
  </si>
  <si>
    <t>759419909R</t>
  </si>
  <si>
    <t>BOITIER AR G FIX BERCEAU AV ASS</t>
  </si>
  <si>
    <t>HSG ASSY-FR SUBFRAME RR LH MTG</t>
  </si>
  <si>
    <t>673386790R</t>
  </si>
  <si>
    <t>RENFORT TABLIER D</t>
  </si>
  <si>
    <t>MBR-FR RH INR PLR &amp; FR RH SIDE MBR CONN</t>
  </si>
  <si>
    <t>641217475R</t>
  </si>
  <si>
    <t>REHAUSSE COUPELLE AV G ASS</t>
  </si>
  <si>
    <t>HEIGHTENER ASSY-FR LH SUSP TURRET</t>
  </si>
  <si>
    <t>489505315R</t>
  </si>
  <si>
    <t>BOITIER SUPPORT SOUFFLET COLONNE DRC G</t>
  </si>
  <si>
    <t>HSG- STRG COL BELLOW SUPT, LH</t>
  </si>
  <si>
    <t>Romania</t>
  </si>
  <si>
    <t>762413602R</t>
  </si>
  <si>
    <t>DOUBLURE PIED AV G PARTIE AV ASS</t>
  </si>
  <si>
    <t>PLR ASSY-FR,INR LWR LH FR PART</t>
  </si>
  <si>
    <t>FAMMA</t>
  </si>
  <si>
    <t>Argentina</t>
  </si>
  <si>
    <t>762314085R</t>
  </si>
  <si>
    <t>PARTIE AR DOUBLURE PIED AV G ASS</t>
  </si>
  <si>
    <t>INR ASSY-RR PART,LH FR PLR</t>
  </si>
  <si>
    <t>762407962R</t>
  </si>
  <si>
    <t>DOUBLURE PIED AV D PARTIE AV ASS</t>
  </si>
  <si>
    <t>PLR ASSY-INR FR RH,FR PART</t>
  </si>
  <si>
    <t>762307120R</t>
  </si>
  <si>
    <t>DOUBLURE PIED AV D PARTIE AR ASS</t>
  </si>
  <si>
    <t>INR ASSY-RR PART,RH FR PLR</t>
  </si>
  <si>
    <t>753115892R</t>
  </si>
  <si>
    <t>LONGERON CTL G ASS</t>
  </si>
  <si>
    <t>REINF ASSY-TUNNEL, FR</t>
  </si>
  <si>
    <t>SAS</t>
  </si>
  <si>
    <t>654818603R</t>
  </si>
  <si>
    <t>ROTULE EQL G CAPOT AV ASS</t>
  </si>
  <si>
    <t>BRKT ASSY-HOOD LH BAL BJT</t>
  </si>
  <si>
    <t>654809563R</t>
  </si>
  <si>
    <t>ROTULE EQL D CAPOT AV ASS</t>
  </si>
  <si>
    <t>BRKT ASSY-HOOD RH BAL BJT</t>
  </si>
  <si>
    <t>AXE PILOTE TRV PDB</t>
  </si>
  <si>
    <t>PIN-GUIDING, DASHBOARD C/MBR</t>
  </si>
  <si>
    <t>GESTAMP PALENCIA</t>
  </si>
  <si>
    <t>Spania</t>
  </si>
  <si>
    <t>ELEMENT RETENUE CHOC SOUS SIEGE 2EME RNG</t>
  </si>
  <si>
    <t>MBR-IMPACT RET UNDER 2ND ROW SEAT</t>
  </si>
  <si>
    <t>MOP / PXDDACIA, RASOOL</t>
  </si>
  <si>
    <t xml:space="preserve">511121547R </t>
  </si>
  <si>
    <t>ANNEAU REMORQUAGE ASS</t>
  </si>
  <si>
    <t>RING-TOW</t>
  </si>
  <si>
    <t>BRKT</t>
  </si>
  <si>
    <t>REINF ASSY-PKB</t>
  </si>
  <si>
    <t>REINF-FR LH SIDE MBR,RR PART</t>
  </si>
  <si>
    <t>MBR-FR CROSS,OTR</t>
  </si>
  <si>
    <t>SUPT ASSY-POWER TRAIN SUSP ON BODY, RH</t>
  </si>
  <si>
    <t>Marrocos</t>
  </si>
  <si>
    <t>X1312/DBC/TR4x2</t>
  </si>
  <si>
    <t>SUPT ASSY-EXH, RR</t>
  </si>
  <si>
    <t>REINF-RR JACK SUPT</t>
  </si>
  <si>
    <t>BRKT ASSY-HEAT SHIELD MTG,UNDER BODY</t>
  </si>
  <si>
    <t>BRKT-ANCH,SUBFRAME TRANSPORT RR LH</t>
  </si>
  <si>
    <t>BRKT-ANCH,SUBFRAME TRANSPORT RR RH</t>
  </si>
  <si>
    <t>BRKT-SPARE WHEEL WINCH</t>
  </si>
  <si>
    <t>Mexico</t>
  </si>
  <si>
    <t>REINF-GATE HINGE</t>
  </si>
  <si>
    <t>REINF ASSY- RR AXLE MTG,INR RH</t>
  </si>
  <si>
    <t>Romenia</t>
  </si>
  <si>
    <t>REINF ASSY- RR AXLE MTG,INR LH</t>
  </si>
  <si>
    <t>REINF-MTG,RR LH AXLE BRG</t>
  </si>
  <si>
    <t>REINF-MTG,RR RH AXLE BRG</t>
  </si>
  <si>
    <t>X1312/DBC/TR4x4</t>
  </si>
  <si>
    <t>HOUSING-RR AXLE MTG,LH</t>
  </si>
  <si>
    <t>REINF-TUNNEL, RR</t>
  </si>
  <si>
    <t>REINF-CTR SIDE MBR,UNDER FLOOR</t>
  </si>
  <si>
    <t>HOUSING-RR AXLE MTG,RH</t>
  </si>
  <si>
    <t>REINF ASSY-RR TANK MTG</t>
  </si>
  <si>
    <t>REINF ASSY-TRANS RELAY BEARING MTG,LH</t>
  </si>
  <si>
    <t>REINF ASSY-TRANS RELAY BEARING MTG,RH</t>
  </si>
  <si>
    <t>BOX ASSY-FR LH SHOCK ABS</t>
  </si>
  <si>
    <t>BOX ASSY-FR RH SHOCK ABS</t>
  </si>
  <si>
    <t>BRKT ASSY-WDW WIPER MOTOR MTG,LH</t>
  </si>
  <si>
    <t>REINF ASSY-HEATER PTN, RH</t>
  </si>
  <si>
    <t>REINF-BAFFLE HEATER, UPR PART, LH</t>
  </si>
  <si>
    <t>REINF-BAFFLE HEATER, UPR PART, RH</t>
  </si>
  <si>
    <t>BRKT-GUIDING, INST PANEL</t>
  </si>
  <si>
    <t>BRKT ASSY-AIR CLNR, UPR</t>
  </si>
  <si>
    <t>SOCKET-RR AXLE</t>
  </si>
  <si>
    <t>Turquia</t>
  </si>
  <si>
    <t>FRAME ASSY-PULL BAT ON UNDERBODY</t>
  </si>
  <si>
    <t>SUPT ASSY-TANK RET, SIDE LH</t>
  </si>
  <si>
    <t>MBR ASSY-FR LH SIDE,FR PART</t>
  </si>
  <si>
    <t>BAFFLE-HEATER</t>
  </si>
  <si>
    <t>MBR ASSY-CLOSING, FR RH SIDE MBR FR</t>
  </si>
  <si>
    <t>MBR-FR SIDE,RR RH</t>
  </si>
  <si>
    <t>HSG ASSY-FR SUBFRAME,FR RH</t>
  </si>
  <si>
    <t>MBR-FR LH SIDE,RR PART</t>
  </si>
  <si>
    <t>BOX ASSY-MTG, FR SUSP MBR, FR LH</t>
  </si>
  <si>
    <t>REINF-FR END CROSS MBR</t>
  </si>
  <si>
    <t>MBR-RR LH SIDE,FR PART</t>
  </si>
  <si>
    <t>Romeina</t>
  </si>
  <si>
    <t>BRKT-JACK, RR LH</t>
  </si>
  <si>
    <t>MBR-RR RH SIDE,FR PART</t>
  </si>
  <si>
    <t>REINF ASSY-MTG,HITCH BALL</t>
  </si>
  <si>
    <t>BRKT-JACK, RR RH</t>
  </si>
  <si>
    <t>WALL-KICK UP</t>
  </si>
  <si>
    <t>Romaine plant (MOP)</t>
  </si>
  <si>
    <t>WIRE-CHILD SEAT ANCH</t>
  </si>
  <si>
    <t>CONN ASS-FR LH INR PLR / FR RH SD MBR,FR</t>
  </si>
  <si>
    <t>MBR-FR LH INR PLR &amp; FR LH SIDE MBR CONN</t>
  </si>
  <si>
    <t>REINF ASSY-HEATER BAFFLE, CTR</t>
  </si>
  <si>
    <t xml:space="preserve">FUMISCOR </t>
  </si>
  <si>
    <t>DEFLECTOR ASSY-AIR INLET ON UNDERBODY</t>
  </si>
  <si>
    <t>REINF PRE ASSY-PEDAL MTG</t>
  </si>
  <si>
    <t>625269729R</t>
  </si>
  <si>
    <t>RENFORT FIX TRAVERSE SUP AV D ASS</t>
  </si>
  <si>
    <t>REINF ASSY-FR UPR RH CROSS MBR,MTG</t>
  </si>
  <si>
    <t>625279651R</t>
  </si>
  <si>
    <t>RENFORT FIX TRAVERSE SUP AV G ASS</t>
  </si>
  <si>
    <t>REINF ASSY-MTG,FR UPR LH CROSS MBR</t>
  </si>
  <si>
    <t> REINF-TUNNEL LH SIDE MBR</t>
  </si>
  <si>
    <t>REINF-TUNNEL RH SIDE MBR</t>
  </si>
  <si>
    <t>X1312/DCB/TR4x4</t>
  </si>
  <si>
    <t>REINF ASSY-TUNNEL RH SIDE MBR</t>
  </si>
  <si>
    <t>X1312/DCB/TR4x2</t>
  </si>
  <si>
    <t>743W61979R</t>
  </si>
  <si>
    <t>RENFORT AR D PLANCHER CTL</t>
  </si>
  <si>
    <t>REINF-CTR FLOOR, RR RH</t>
  </si>
  <si>
    <t>743676909R</t>
  </si>
  <si>
    <t>RENFORT AR G PLANCHER CTL</t>
  </si>
  <si>
    <t>REINF-CTR FLOOR, RR LH</t>
  </si>
  <si>
    <t>501322193R</t>
  </si>
  <si>
    <t>LONGERON CTL</t>
  </si>
  <si>
    <t>MBR-SIDE,CTR</t>
  </si>
  <si>
    <t>641106713R</t>
  </si>
  <si>
    <t>PASSAGE ROUE AV D ASS</t>
  </si>
  <si>
    <t>WH ASSY-FR RH</t>
  </si>
  <si>
    <t>743R13690R</t>
  </si>
  <si>
    <t>PLANCHER CTL PARTIE LAT G</t>
  </si>
  <si>
    <t>FLOOR-SIDE LH PART,CTR</t>
  </si>
  <si>
    <t>H1312</t>
  </si>
  <si>
    <t>743R00444R</t>
  </si>
  <si>
    <t>PLANCHER CTL PARTIE LAT D</t>
  </si>
  <si>
    <t>FLOOR-SIDE RH PART,CTR</t>
  </si>
  <si>
    <t>671208779R</t>
  </si>
  <si>
    <t>TRAVERSE TABLIER PARTIE CTL ASS</t>
  </si>
  <si>
    <t>MBR ASSY-CROSS DASH PANEL,CTR</t>
  </si>
  <si>
    <t>TOWER AUTOMOTIVE</t>
  </si>
  <si>
    <t>SUPT-STRG COL CROSS MBR</t>
  </si>
  <si>
    <t>WIRE-EXH RR BRKT</t>
  </si>
  <si>
    <t>STEP-RR</t>
  </si>
  <si>
    <t>MBR ASSY-CLOSING,FR LH SIDE MBR FR</t>
  </si>
  <si>
    <t>Supplier_22</t>
  </si>
  <si>
    <t>SUB PIECE - PART NUMBER</t>
  </si>
  <si>
    <t>SUB PIECE - PART NAME</t>
  </si>
  <si>
    <t>678155068R</t>
  </si>
  <si>
    <t>RENFORT FIX ATTELAGE CARAVANE</t>
  </si>
  <si>
    <t>ECROU A SOUDER M12X175 10</t>
  </si>
  <si>
    <t>HX300LA</t>
  </si>
  <si>
    <t>511762227R</t>
  </si>
  <si>
    <t>--F</t>
  </si>
  <si>
    <t>--B</t>
  </si>
  <si>
    <t>PARENT ASSY PN</t>
  </si>
  <si>
    <t>PARENT ASSY DESIGNATION</t>
  </si>
  <si>
    <t>SUB PIECE - CONDITION</t>
  </si>
  <si>
    <t>MAIN ASSY</t>
  </si>
  <si>
    <t>PARENT ASSY Condition</t>
  </si>
  <si>
    <t>ORIGIN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</si>
</sst>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0000"/>
    <numFmt numFmtId="165" formatCode="000"/>
    <numFmt numFmtId="166" formatCode="_-[$€-2]\ * #,##0.00_-;\-[$€-2]\ * #,##0.00_-;_-[$€-2]\ * &quot;-&quot;??_-;_-@_-"/>
    <numFmt numFmtId="167" formatCode="0.000"/>
    <numFmt numFmtId="168" formatCode="0000000000"/>
  </numFmts>
  <fonts count="59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28"/>
      <color theme="0"/>
      <name val="Calibri"/>
      <family val="2"/>
      <scheme val="minor"/>
    </font>
    <font>
      <sz val="11"/>
      <color theme="2" tint="-0.749992370372631"/>
      <name val="Calibri"/>
      <family val="2"/>
      <scheme val="minor"/>
    </font>
    <font>
      <sz val="11"/>
      <color indexed="9"/>
      <name val="Calibri"/>
      <family val="2"/>
      <scheme val="minor"/>
    </font>
    <font>
      <sz val="16"/>
      <color indexed="9"/>
      <name val="Calibri"/>
      <family val="2"/>
      <scheme val="minor"/>
    </font>
    <font>
      <sz val="11"/>
      <color indexed="8"/>
      <name val="Calibri"/>
      <family val="2"/>
      <scheme val="minor"/>
    </font>
    <font>
      <sz val="16"/>
      <color indexed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80F"/>
      <name val="Arial"/>
      <family val="2"/>
    </font>
    <font>
      <u/>
      <sz val="11"/>
      <color theme="10"/>
      <name val="Calibri"/>
      <family val="2"/>
      <scheme val="minor"/>
    </font>
    <font>
      <b/>
      <i/>
      <sz val="26"/>
      <color rgb="FFFF6326"/>
      <name val="Calibri"/>
      <family val="2"/>
      <scheme val="minor"/>
    </font>
    <font>
      <b/>
      <sz val="24"/>
      <color theme="0" tint="-0.14999847407452621"/>
      <name val="Calibri"/>
      <family val="2"/>
      <scheme val="minor"/>
    </font>
    <font>
      <b/>
      <sz val="12"/>
      <color theme="0" tint="-0.14999847407452621"/>
      <name val="Calibri"/>
      <family val="2"/>
      <scheme val="minor"/>
    </font>
    <font>
      <b/>
      <sz val="20"/>
      <name val="Arial"/>
      <family val="2"/>
    </font>
    <font>
      <b/>
      <sz val="11"/>
      <color rgb="FFFFFFFF"/>
      <name val="Calibri"/>
      <family val="2"/>
      <scheme val="minor"/>
    </font>
    <font>
      <b/>
      <sz val="14"/>
      <color theme="0" tint="-0.14999847407452621"/>
      <name val="Calibri"/>
      <family val="2"/>
      <scheme val="minor"/>
    </font>
    <font>
      <sz val="11"/>
      <color rgb="FF333333"/>
      <name val="Arial"/>
      <family val="2"/>
    </font>
    <font>
      <sz val="10"/>
      <name val="Arial"/>
      <family val="2"/>
    </font>
    <font>
      <sz val="11"/>
      <color rgb="FF00B0F0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rgb="FFFFFFFF"/>
      <name val="Calibri"/>
      <family val="2"/>
      <scheme val="minor"/>
    </font>
    <font>
      <b/>
      <sz val="14"/>
      <name val="Arial"/>
      <family val="2"/>
    </font>
    <font>
      <b/>
      <sz val="12"/>
      <name val="Arial"/>
      <family val="2"/>
    </font>
    <font>
      <b/>
      <sz val="22"/>
      <color theme="1"/>
      <name val="Calibri"/>
      <family val="2"/>
      <scheme val="minor"/>
    </font>
    <font>
      <b/>
      <u/>
      <sz val="22"/>
      <name val="Arial"/>
      <family val="2"/>
    </font>
    <font>
      <b/>
      <sz val="22"/>
      <name val="Arial"/>
      <family val="2"/>
    </font>
    <font>
      <sz val="10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rgb="FF00080F"/>
      <name val="Arial"/>
      <family val="2"/>
    </font>
    <font>
      <sz val="8"/>
      <name val="Arial"/>
      <family val="2"/>
    </font>
    <font>
      <sz val="12"/>
      <name val="Calibri"/>
      <family val="2"/>
      <scheme val="minor"/>
    </font>
    <font>
      <b/>
      <sz val="12"/>
      <color rgb="FFFFFFFF"/>
      <name val="Calibri"/>
      <family val="2"/>
      <scheme val="minor"/>
    </font>
    <font>
      <strike/>
      <sz val="10"/>
      <color theme="1"/>
      <name val="Calibri"/>
      <family val="2"/>
      <scheme val="minor"/>
    </font>
    <font>
      <strike/>
      <sz val="10"/>
      <color rgb="FF00080F"/>
      <name val="Arial"/>
      <family val="2"/>
    </font>
    <font>
      <strike/>
      <sz val="10"/>
      <color theme="1"/>
      <name val="Arial"/>
      <family val="2"/>
    </font>
    <font>
      <strike/>
      <sz val="10"/>
      <name val="Arial"/>
      <family val="2"/>
    </font>
    <font>
      <strike/>
      <sz val="8"/>
      <name val="Arial"/>
      <family val="2"/>
    </font>
    <font>
      <sz val="10"/>
      <color theme="0"/>
      <name val="Arial"/>
      <family val="2"/>
    </font>
    <font>
      <b/>
      <sz val="26"/>
      <color theme="1"/>
      <name val="Calibri"/>
      <family val="2"/>
      <scheme val="minor"/>
    </font>
    <font>
      <sz val="10"/>
      <name val="Calibri"/>
      <family val="2"/>
      <scheme val="minor"/>
    </font>
    <font>
      <strike/>
      <sz val="10"/>
      <name val="Calibri"/>
      <family val="2"/>
      <scheme val="minor"/>
    </font>
    <font>
      <b/>
      <sz val="9"/>
      <color theme="0" tint="-0.1499984740745262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rgb="FF000000"/>
      <name val="Calibri"/>
      <family val="2"/>
      <scheme val="minor"/>
    </font>
    <font>
      <sz val="9"/>
      <color rgb="FF000000"/>
      <name val="Calibri"/>
      <family val="2"/>
    </font>
    <font>
      <b/>
      <sz val="9"/>
      <color rgb="FF000000"/>
      <name val="Calibri"/>
      <family val="2"/>
    </font>
    <font>
      <sz val="11"/>
      <color indexed="8"/>
      <name val="Arial"/>
      <family val="2"/>
    </font>
    <font>
      <sz val="8"/>
      <name val="Calibri"/>
      <family val="2"/>
      <scheme val="minor"/>
    </font>
    <font>
      <sz val="12"/>
      <color theme="0" tint="-4.9989318521683403E-2"/>
      <name val="Calibri"/>
      <family val="2"/>
      <scheme val="minor"/>
    </font>
    <font>
      <b/>
      <sz val="12"/>
      <color theme="0" tint="-4.9989318521683403E-2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12"/>
      <color rgb="FF000000"/>
      <name val="Aptos"/>
      <family val="2"/>
    </font>
    <font>
      <b/>
      <sz val="12"/>
      <color rgb="FF000000"/>
      <name val="Inherit"/>
    </font>
    <font>
      <sz val="12"/>
      <color rgb="FFFF0000"/>
      <name val="Aptos"/>
      <family val="2"/>
    </font>
  </fonts>
  <fills count="40">
    <fill>
      <patternFill patternType="none"/>
    </fill>
    <fill>
      <patternFill patternType="gray125"/>
    </fill>
    <fill>
      <patternFill patternType="solid">
        <fgColor theme="1" tint="0.249977111117893"/>
        <bgColor indexed="64"/>
      </patternFill>
    </fill>
    <fill>
      <patternFill patternType="solid">
        <fgColor rgb="FF660066"/>
        <bgColor indexed="64"/>
      </patternFill>
    </fill>
    <fill>
      <patternFill patternType="solid">
        <fgColor rgb="FF28F877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34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rgb="FFF0EEEB"/>
        <bgColor indexed="64"/>
      </patternFill>
    </fill>
    <fill>
      <patternFill patternType="solid">
        <fgColor rgb="FF7C878E"/>
        <bgColor indexed="64"/>
      </patternFill>
    </fill>
    <fill>
      <patternFill patternType="solid">
        <fgColor rgb="FF1E284B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BEE6FF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1DFF83"/>
        <bgColor indexed="64"/>
      </patternFill>
    </fill>
    <fill>
      <patternFill patternType="solid">
        <fgColor rgb="FFC06CEE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665FFB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CCFF"/>
        <bgColor rgb="FF000000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DDEBF7"/>
        <bgColor indexed="64"/>
      </patternFill>
    </fill>
  </fills>
  <borders count="54">
    <border>
      <left/>
      <right/>
      <top/>
      <bottom/>
      <diagonal/>
    </border>
    <border>
      <left style="thick">
        <color theme="1" tint="0.14996795556505021"/>
      </left>
      <right/>
      <top/>
      <bottom/>
      <diagonal/>
    </border>
    <border>
      <left style="thick">
        <color theme="1" tint="0.14996795556505021"/>
      </left>
      <right style="thin">
        <color theme="1" tint="0.34998626667073579"/>
      </right>
      <top/>
      <bottom/>
      <diagonal/>
    </border>
    <border>
      <left style="thin">
        <color theme="1" tint="0.34998626667073579"/>
      </left>
      <right style="thin">
        <color theme="1" tint="0.34998626667073579"/>
      </right>
      <top/>
      <bottom/>
      <diagonal/>
    </border>
    <border>
      <left style="thick">
        <color theme="1" tint="0.14996795556505021"/>
      </left>
      <right style="thin">
        <color theme="2" tint="-0.24994659260841701"/>
      </right>
      <top style="thin">
        <color theme="2" tint="-0.24994659260841701"/>
      </top>
      <bottom style="thin">
        <color theme="2" tint="-0.24994659260841701"/>
      </bottom>
      <diagonal/>
    </border>
    <border>
      <left style="thin">
        <color theme="2" tint="-0.24994659260841701"/>
      </left>
      <right style="thin">
        <color theme="2" tint="-0.24994659260841701"/>
      </right>
      <top style="thin">
        <color theme="2" tint="-0.24994659260841701"/>
      </top>
      <bottom style="thin">
        <color theme="2" tint="-0.24994659260841701"/>
      </bottom>
      <diagonal/>
    </border>
    <border>
      <left style="thick">
        <color theme="1" tint="0.14996795556505021"/>
      </left>
      <right style="thin">
        <color theme="2" tint="-0.24994659260841701"/>
      </right>
      <top style="thin">
        <color theme="2" tint="-0.24994659260841701"/>
      </top>
      <bottom style="thick">
        <color theme="1" tint="0.14996795556505021"/>
      </bottom>
      <diagonal/>
    </border>
    <border>
      <left style="thin">
        <color theme="2" tint="-0.24994659260841701"/>
      </left>
      <right style="thin">
        <color theme="2" tint="-0.24994659260841701"/>
      </right>
      <top style="thin">
        <color theme="2" tint="-0.24994659260841701"/>
      </top>
      <bottom style="thick">
        <color theme="1" tint="0.14996795556505021"/>
      </bottom>
      <diagonal/>
    </border>
    <border>
      <left style="thick">
        <color theme="1" tint="0.14996795556505021"/>
      </left>
      <right style="thin">
        <color theme="2" tint="-0.24994659260841701"/>
      </right>
      <top/>
      <bottom style="thin">
        <color theme="2" tint="-0.24994659260841701"/>
      </bottom>
      <diagonal/>
    </border>
    <border>
      <left style="thin">
        <color theme="2" tint="-0.24994659260841701"/>
      </left>
      <right style="thin">
        <color theme="2" tint="-0.24994659260841701"/>
      </right>
      <top/>
      <bottom style="thin">
        <color theme="2" tint="-0.24994659260841701"/>
      </bottom>
      <diagonal/>
    </border>
    <border>
      <left style="thick">
        <color theme="1" tint="0.14996795556505021"/>
      </left>
      <right style="thin">
        <color theme="1" tint="0.34998626667073579"/>
      </right>
      <top/>
      <bottom style="medium">
        <color theme="2" tint="-0.749961851863155"/>
      </bottom>
      <diagonal/>
    </border>
    <border>
      <left style="thin">
        <color theme="1" tint="0.34998626667073579"/>
      </left>
      <right style="thin">
        <color theme="1" tint="0.34998626667073579"/>
      </right>
      <top/>
      <bottom style="medium">
        <color theme="2" tint="-0.749961851863155"/>
      </bottom>
      <diagonal/>
    </border>
    <border>
      <left style="thick">
        <color theme="1" tint="0.14996795556505021"/>
      </left>
      <right/>
      <top style="thick">
        <color theme="1" tint="0.14996795556505021"/>
      </top>
      <bottom style="medium">
        <color theme="1" tint="0.14993743705557422"/>
      </bottom>
      <diagonal/>
    </border>
    <border>
      <left/>
      <right/>
      <top style="thick">
        <color theme="1" tint="0.14996795556505021"/>
      </top>
      <bottom style="medium">
        <color theme="1" tint="0.14993743705557422"/>
      </bottom>
      <diagonal/>
    </border>
    <border>
      <left style="thin">
        <color theme="2" tint="-0.24994659260841701"/>
      </left>
      <right/>
      <top style="thin">
        <color theme="2" tint="-0.24994659260841701"/>
      </top>
      <bottom style="thin">
        <color theme="2" tint="-0.24994659260841701"/>
      </bottom>
      <diagonal/>
    </border>
    <border>
      <left/>
      <right style="thick">
        <color theme="1" tint="0.14993743705557422"/>
      </right>
      <top style="thick">
        <color theme="1" tint="0.14996795556505021"/>
      </top>
      <bottom style="medium">
        <color theme="1" tint="0.14993743705557422"/>
      </bottom>
      <diagonal/>
    </border>
    <border>
      <left/>
      <right style="thick">
        <color theme="1" tint="0.14993743705557422"/>
      </right>
      <top/>
      <bottom/>
      <diagonal/>
    </border>
    <border>
      <left style="thin">
        <color theme="1" tint="0.34998626667073579"/>
      </left>
      <right style="thick">
        <color theme="1" tint="0.14993743705557422"/>
      </right>
      <top/>
      <bottom/>
      <diagonal/>
    </border>
    <border>
      <left style="thin">
        <color theme="1" tint="0.34998626667073579"/>
      </left>
      <right style="thick">
        <color theme="1" tint="0.14993743705557422"/>
      </right>
      <top/>
      <bottom style="medium">
        <color theme="2" tint="-0.749961851863155"/>
      </bottom>
      <diagonal/>
    </border>
    <border>
      <left style="thin">
        <color theme="2" tint="-0.24994659260841701"/>
      </left>
      <right style="thick">
        <color theme="1" tint="0.14993743705557422"/>
      </right>
      <top/>
      <bottom style="thin">
        <color theme="2" tint="-0.24994659260841701"/>
      </bottom>
      <diagonal/>
    </border>
    <border>
      <left style="thin">
        <color theme="2" tint="-0.24994659260841701"/>
      </left>
      <right style="thick">
        <color theme="1" tint="0.14993743705557422"/>
      </right>
      <top style="thin">
        <color theme="2" tint="-0.24994659260841701"/>
      </top>
      <bottom style="thin">
        <color theme="2" tint="-0.24994659260841701"/>
      </bottom>
      <diagonal/>
    </border>
    <border>
      <left style="thin">
        <color theme="2" tint="-0.24994659260841701"/>
      </left>
      <right style="thick">
        <color theme="1" tint="0.14993743705557422"/>
      </right>
      <top style="thin">
        <color theme="2" tint="-0.24994659260841701"/>
      </top>
      <bottom style="thick">
        <color theme="1" tint="0.14996795556505021"/>
      </bottom>
      <diagonal/>
    </border>
    <border>
      <left/>
      <right style="thin">
        <color theme="2" tint="-0.24994659260841701"/>
      </right>
      <top style="thin">
        <color theme="2" tint="-0.24994659260841701"/>
      </top>
      <bottom/>
      <diagonal/>
    </border>
    <border>
      <left style="thin">
        <color theme="2" tint="-0.24994659260841701"/>
      </left>
      <right style="thin">
        <color theme="2" tint="-0.24994659260841701"/>
      </right>
      <top style="thin">
        <color theme="2" tint="-0.24994659260841701"/>
      </top>
      <bottom/>
      <diagonal/>
    </border>
    <border>
      <left style="thin">
        <color theme="2" tint="-0.24994659260841701"/>
      </left>
      <right/>
      <top style="thin">
        <color theme="2" tint="-0.24994659260841701"/>
      </top>
      <bottom/>
      <diagonal/>
    </border>
    <border>
      <left/>
      <right/>
      <top style="thick">
        <color rgb="FFF0EEEB"/>
      </top>
      <bottom/>
      <diagonal/>
    </border>
    <border>
      <left/>
      <right style="thin">
        <color rgb="FFF0EEEB"/>
      </right>
      <top style="thick">
        <color rgb="FFF0EEEB"/>
      </top>
      <bottom/>
      <diagonal/>
    </border>
    <border>
      <left style="thin">
        <color rgb="FFF0EEEB"/>
      </left>
      <right style="thin">
        <color rgb="FFF0EEEB"/>
      </right>
      <top style="thick">
        <color rgb="FFF0EEEB"/>
      </top>
      <bottom/>
      <diagonal/>
    </border>
    <border>
      <left style="thin">
        <color rgb="FFF0EEEB"/>
      </left>
      <right/>
      <top style="thick">
        <color rgb="FFF0EEEB"/>
      </top>
      <bottom/>
      <diagonal/>
    </border>
    <border>
      <left style="medium">
        <color theme="0" tint="-0.34998626667073579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medium">
        <color theme="0" tint="-0.34998626667073579"/>
      </right>
      <top/>
      <bottom/>
      <diagonal/>
    </border>
    <border>
      <left style="medium">
        <color theme="0" tint="-0.34998626667073579"/>
      </left>
      <right style="medium">
        <color theme="0" tint="-0.34998626667073579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theme="0" tint="-0.34998626667073579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medium">
        <color theme="0" tint="-0.34998626667073579"/>
      </right>
      <top/>
      <bottom style="thin">
        <color theme="0" tint="-0.24994659260841701"/>
      </bottom>
      <diagonal/>
    </border>
    <border>
      <left style="medium">
        <color theme="0" tint="-0.34998626667073579"/>
      </left>
      <right style="medium">
        <color theme="0" tint="-0.34998626667073579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theme="0" tint="-0.34998626667073579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medium">
        <color theme="0" tint="-0.34998626667073579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3" tint="0.79995117038483843"/>
      </left>
      <right style="thin">
        <color theme="3" tint="0.79995117038483843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</borders>
  <cellStyleXfs count="3">
    <xf numFmtId="0" fontId="0" fillId="0" borderId="0"/>
    <xf numFmtId="0" fontId="10" fillId="0" borderId="0" applyNumberFormat="0" applyFill="0" applyBorder="0" applyAlignment="0" applyProtection="0"/>
    <xf numFmtId="0" fontId="18" fillId="0" borderId="0"/>
  </cellStyleXfs>
  <cellXfs count="217">
    <xf numFmtId="0" fontId="0" fillId="0" borderId="0" xfId="0"/>
    <xf numFmtId="0" fontId="0" fillId="2" borderId="0" xfId="0" applyFill="1"/>
    <xf numFmtId="0" fontId="0" fillId="6" borderId="6" xfId="0" applyFill="1" applyBorder="1"/>
    <xf numFmtId="0" fontId="0" fillId="6" borderId="7" xfId="0" applyFill="1" applyBorder="1"/>
    <xf numFmtId="0" fontId="0" fillId="6" borderId="5" xfId="0" applyFill="1" applyBorder="1" applyAlignment="1">
      <alignment horizontal="center" vertical="center"/>
    </xf>
    <xf numFmtId="0" fontId="0" fillId="6" borderId="21" xfId="0" applyFill="1" applyBorder="1"/>
    <xf numFmtId="0" fontId="0" fillId="6" borderId="8" xfId="0" applyFill="1" applyBorder="1" applyAlignment="1">
      <alignment horizontal="center" vertical="center"/>
    </xf>
    <xf numFmtId="0" fontId="0" fillId="6" borderId="9" xfId="0" applyFill="1" applyBorder="1" applyAlignment="1">
      <alignment horizontal="center" vertical="center"/>
    </xf>
    <xf numFmtId="0" fontId="0" fillId="6" borderId="19" xfId="0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0" fillId="6" borderId="20" xfId="0" applyFill="1" applyBorder="1" applyAlignment="1">
      <alignment horizontal="center" vertical="center"/>
    </xf>
    <xf numFmtId="0" fontId="3" fillId="2" borderId="0" xfId="0" applyFont="1" applyFill="1" applyProtection="1">
      <protection locked="0"/>
    </xf>
    <xf numFmtId="0" fontId="0" fillId="2" borderId="0" xfId="0" applyFill="1" applyProtection="1">
      <protection locked="0"/>
    </xf>
    <xf numFmtId="0" fontId="6" fillId="9" borderId="14" xfId="0" applyFont="1" applyFill="1" applyBorder="1" applyAlignment="1" applyProtection="1">
      <alignment horizontal="center" vertical="center"/>
      <protection locked="0"/>
    </xf>
    <xf numFmtId="0" fontId="4" fillId="8" borderId="14" xfId="0" applyFont="1" applyFill="1" applyBorder="1" applyAlignment="1" applyProtection="1">
      <alignment horizontal="center" vertical="center"/>
      <protection locked="0"/>
    </xf>
    <xf numFmtId="0" fontId="6" fillId="7" borderId="14" xfId="0" applyFont="1" applyFill="1" applyBorder="1" applyAlignment="1" applyProtection="1">
      <alignment horizontal="center" vertical="center"/>
      <protection locked="0"/>
    </xf>
    <xf numFmtId="0" fontId="6" fillId="9" borderId="22" xfId="0" applyFont="1" applyFill="1" applyBorder="1" applyAlignment="1" applyProtection="1">
      <alignment horizontal="center" vertical="center"/>
      <protection locked="0"/>
    </xf>
    <xf numFmtId="0" fontId="6" fillId="9" borderId="23" xfId="0" applyFont="1" applyFill="1" applyBorder="1" applyAlignment="1" applyProtection="1">
      <alignment horizontal="center" vertical="center"/>
      <protection locked="0"/>
    </xf>
    <xf numFmtId="0" fontId="7" fillId="9" borderId="23" xfId="0" applyFont="1" applyFill="1" applyBorder="1" applyAlignment="1" applyProtection="1">
      <alignment horizontal="center" vertical="center"/>
      <protection locked="0"/>
    </xf>
    <xf numFmtId="0" fontId="6" fillId="9" borderId="24" xfId="0" applyFont="1" applyFill="1" applyBorder="1" applyAlignment="1" applyProtection="1">
      <alignment horizontal="center" vertical="center"/>
      <protection locked="0"/>
    </xf>
    <xf numFmtId="0" fontId="4" fillId="8" borderId="22" xfId="0" applyFont="1" applyFill="1" applyBorder="1" applyAlignment="1" applyProtection="1">
      <alignment horizontal="center" vertical="center"/>
      <protection locked="0"/>
    </xf>
    <xf numFmtId="0" fontId="4" fillId="8" borderId="23" xfId="0" applyFont="1" applyFill="1" applyBorder="1" applyAlignment="1" applyProtection="1">
      <alignment horizontal="center" vertical="center"/>
      <protection locked="0"/>
    </xf>
    <xf numFmtId="0" fontId="5" fillId="8" borderId="23" xfId="0" applyFont="1" applyFill="1" applyBorder="1" applyAlignment="1" applyProtection="1">
      <alignment horizontal="center" vertical="center"/>
      <protection locked="0"/>
    </xf>
    <xf numFmtId="0" fontId="4" fillId="8" borderId="24" xfId="0" applyFont="1" applyFill="1" applyBorder="1" applyAlignment="1" applyProtection="1">
      <alignment horizontal="center" vertical="center"/>
      <protection locked="0"/>
    </xf>
    <xf numFmtId="0" fontId="6" fillId="7" borderId="22" xfId="0" applyFont="1" applyFill="1" applyBorder="1" applyAlignment="1" applyProtection="1">
      <alignment horizontal="center" vertical="center"/>
      <protection locked="0"/>
    </xf>
    <xf numFmtId="0" fontId="6" fillId="7" borderId="23" xfId="0" applyFont="1" applyFill="1" applyBorder="1" applyAlignment="1" applyProtection="1">
      <alignment horizontal="center" vertical="center"/>
      <protection locked="0"/>
    </xf>
    <xf numFmtId="0" fontId="7" fillId="7" borderId="23" xfId="0" applyFont="1" applyFill="1" applyBorder="1" applyAlignment="1" applyProtection="1">
      <alignment horizontal="center" vertical="center"/>
      <protection locked="0"/>
    </xf>
    <xf numFmtId="0" fontId="6" fillId="7" borderId="24" xfId="0" applyFont="1" applyFill="1" applyBorder="1" applyAlignment="1" applyProtection="1">
      <alignment horizontal="center" vertical="center"/>
      <protection locked="0"/>
    </xf>
    <xf numFmtId="0" fontId="0" fillId="10" borderId="0" xfId="0" applyFill="1"/>
    <xf numFmtId="164" fontId="6" fillId="9" borderId="23" xfId="0" applyNumberFormat="1" applyFont="1" applyFill="1" applyBorder="1" applyAlignment="1" applyProtection="1">
      <alignment horizontal="center" vertical="center"/>
      <protection locked="0"/>
    </xf>
    <xf numFmtId="164" fontId="4" fillId="8" borderId="23" xfId="0" applyNumberFormat="1" applyFont="1" applyFill="1" applyBorder="1" applyAlignment="1" applyProtection="1">
      <alignment horizontal="center" vertical="center"/>
      <protection locked="0"/>
    </xf>
    <xf numFmtId="0" fontId="4" fillId="11" borderId="22" xfId="0" applyFont="1" applyFill="1" applyBorder="1" applyAlignment="1" applyProtection="1">
      <alignment horizontal="center" vertical="center"/>
      <protection locked="0"/>
    </xf>
    <xf numFmtId="0" fontId="4" fillId="11" borderId="23" xfId="0" applyFont="1" applyFill="1" applyBorder="1" applyAlignment="1" applyProtection="1">
      <alignment horizontal="center" vertical="center"/>
      <protection locked="0"/>
    </xf>
    <xf numFmtId="0" fontId="5" fillId="11" borderId="23" xfId="0" applyFont="1" applyFill="1" applyBorder="1" applyAlignment="1" applyProtection="1">
      <alignment horizontal="center" vertical="center"/>
      <protection locked="0"/>
    </xf>
    <xf numFmtId="0" fontId="4" fillId="11" borderId="24" xfId="0" applyFont="1" applyFill="1" applyBorder="1" applyAlignment="1" applyProtection="1">
      <alignment horizontal="center" vertical="center"/>
      <protection locked="0"/>
    </xf>
    <xf numFmtId="0" fontId="4" fillId="11" borderId="14" xfId="0" applyFont="1" applyFill="1" applyBorder="1" applyAlignment="1" applyProtection="1">
      <alignment horizontal="center" vertical="center"/>
      <protection locked="0"/>
    </xf>
    <xf numFmtId="164" fontId="4" fillId="11" borderId="23" xfId="0" applyNumberFormat="1" applyFont="1" applyFill="1" applyBorder="1" applyAlignment="1" applyProtection="1">
      <alignment horizontal="center" vertical="center"/>
      <protection locked="0"/>
    </xf>
    <xf numFmtId="0" fontId="4" fillId="12" borderId="24" xfId="0" applyFont="1" applyFill="1" applyBorder="1" applyAlignment="1" applyProtection="1">
      <alignment horizontal="center" vertical="center"/>
      <protection locked="0"/>
    </xf>
    <xf numFmtId="0" fontId="4" fillId="13" borderId="24" xfId="0" applyFont="1" applyFill="1" applyBorder="1" applyAlignment="1" applyProtection="1">
      <alignment horizontal="center" vertical="center"/>
      <protection locked="0"/>
    </xf>
    <xf numFmtId="165" fontId="4" fillId="8" borderId="24" xfId="0" applyNumberFormat="1" applyFont="1" applyFill="1" applyBorder="1" applyAlignment="1" applyProtection="1">
      <alignment horizontal="center" vertical="center"/>
      <protection locked="0"/>
    </xf>
    <xf numFmtId="165" fontId="6" fillId="9" borderId="24" xfId="0" applyNumberFormat="1" applyFont="1" applyFill="1" applyBorder="1" applyAlignment="1" applyProtection="1">
      <alignment horizontal="center" vertical="center"/>
      <protection locked="0"/>
    </xf>
    <xf numFmtId="165" fontId="6" fillId="7" borderId="24" xfId="0" applyNumberFormat="1" applyFont="1" applyFill="1" applyBorder="1" applyAlignment="1" applyProtection="1">
      <alignment horizontal="center" vertical="center"/>
      <protection locked="0"/>
    </xf>
    <xf numFmtId="165" fontId="4" fillId="11" borderId="24" xfId="0" applyNumberFormat="1" applyFont="1" applyFill="1" applyBorder="1" applyAlignment="1" applyProtection="1">
      <alignment horizontal="center" vertical="center"/>
      <protection locked="0"/>
    </xf>
    <xf numFmtId="0" fontId="4" fillId="8" borderId="24" xfId="0" applyFont="1" applyFill="1" applyBorder="1" applyAlignment="1" applyProtection="1">
      <alignment horizontal="center" vertical="center" wrapText="1"/>
      <protection locked="0"/>
    </xf>
    <xf numFmtId="0" fontId="4" fillId="14" borderId="24" xfId="0" applyFont="1" applyFill="1" applyBorder="1" applyAlignment="1" applyProtection="1">
      <alignment horizontal="center" vertical="center"/>
      <protection locked="0"/>
    </xf>
    <xf numFmtId="0" fontId="4" fillId="15" borderId="24" xfId="0" applyFont="1" applyFill="1" applyBorder="1" applyAlignment="1" applyProtection="1">
      <alignment horizontal="center" vertical="center"/>
      <protection locked="0"/>
    </xf>
    <xf numFmtId="0" fontId="13" fillId="18" borderId="27" xfId="0" applyFont="1" applyFill="1" applyBorder="1" applyAlignment="1">
      <alignment horizontal="center" vertical="center"/>
    </xf>
    <xf numFmtId="0" fontId="0" fillId="19" borderId="0" xfId="0" applyFill="1"/>
    <xf numFmtId="0" fontId="0" fillId="19" borderId="0" xfId="0" applyFill="1" applyAlignment="1">
      <alignment vertical="center"/>
    </xf>
    <xf numFmtId="0" fontId="14" fillId="19" borderId="0" xfId="0" applyFont="1" applyFill="1" applyAlignment="1">
      <alignment horizontal="center" vertical="center" wrapText="1"/>
    </xf>
    <xf numFmtId="0" fontId="8" fillId="6" borderId="34" xfId="0" applyFont="1" applyFill="1" applyBorder="1" applyAlignment="1">
      <alignment horizontal="center" vertical="center"/>
    </xf>
    <xf numFmtId="0" fontId="17" fillId="19" borderId="0" xfId="0" applyFont="1" applyFill="1" applyAlignment="1">
      <alignment horizontal="center" vertical="center"/>
    </xf>
    <xf numFmtId="0" fontId="0" fillId="19" borderId="0" xfId="0" applyFill="1" applyAlignment="1">
      <alignment horizontal="center" vertical="center"/>
    </xf>
    <xf numFmtId="0" fontId="0" fillId="10" borderId="0" xfId="0" applyFill="1" applyAlignment="1">
      <alignment vertical="center"/>
    </xf>
    <xf numFmtId="0" fontId="0" fillId="10" borderId="0" xfId="0" applyFill="1" applyAlignment="1">
      <alignment horizontal="center" vertical="center"/>
    </xf>
    <xf numFmtId="0" fontId="20" fillId="10" borderId="0" xfId="0" applyFont="1" applyFill="1" applyAlignment="1">
      <alignment horizontal="center" vertical="center"/>
    </xf>
    <xf numFmtId="0" fontId="0" fillId="20" borderId="0" xfId="0" applyFill="1" applyAlignment="1">
      <alignment vertical="center"/>
    </xf>
    <xf numFmtId="0" fontId="21" fillId="21" borderId="0" xfId="0" applyFont="1" applyFill="1" applyAlignment="1">
      <alignment horizontal="center" vertical="center"/>
    </xf>
    <xf numFmtId="0" fontId="22" fillId="22" borderId="44" xfId="2" applyFont="1" applyFill="1" applyBorder="1" applyAlignment="1">
      <alignment horizontal="center" vertical="center" wrapText="1"/>
    </xf>
    <xf numFmtId="0" fontId="9" fillId="2" borderId="45" xfId="0" applyFont="1" applyFill="1" applyBorder="1"/>
    <xf numFmtId="0" fontId="23" fillId="23" borderId="46" xfId="2" applyFont="1" applyFill="1" applyBorder="1" applyAlignment="1">
      <alignment horizontal="center" vertical="center" wrapText="1"/>
    </xf>
    <xf numFmtId="0" fontId="9" fillId="2" borderId="0" xfId="0" applyFont="1" applyFill="1"/>
    <xf numFmtId="0" fontId="15" fillId="18" borderId="0" xfId="0" applyFont="1" applyFill="1" applyAlignment="1">
      <alignment horizontal="center" vertical="center"/>
    </xf>
    <xf numFmtId="0" fontId="27" fillId="6" borderId="39" xfId="0" applyFont="1" applyFill="1" applyBorder="1" applyAlignment="1">
      <alignment horizontal="center" vertical="center"/>
    </xf>
    <xf numFmtId="0" fontId="28" fillId="6" borderId="39" xfId="0" applyFont="1" applyFill="1" applyBorder="1" applyAlignment="1">
      <alignment horizontal="center" vertical="center"/>
    </xf>
    <xf numFmtId="0" fontId="29" fillId="6" borderId="39" xfId="0" applyFont="1" applyFill="1" applyBorder="1" applyAlignment="1">
      <alignment horizontal="center" vertical="center"/>
    </xf>
    <xf numFmtId="0" fontId="18" fillId="6" borderId="39" xfId="1" applyFont="1" applyFill="1" applyBorder="1" applyAlignment="1">
      <alignment horizontal="center" vertical="center"/>
    </xf>
    <xf numFmtId="0" fontId="27" fillId="6" borderId="40" xfId="0" applyFont="1" applyFill="1" applyBorder="1" applyAlignment="1">
      <alignment horizontal="center" vertical="center"/>
    </xf>
    <xf numFmtId="0" fontId="27" fillId="16" borderId="41" xfId="0" applyFont="1" applyFill="1" applyBorder="1" applyAlignment="1">
      <alignment horizontal="center" vertical="center"/>
    </xf>
    <xf numFmtId="0" fontId="27" fillId="16" borderId="42" xfId="0" applyFont="1" applyFill="1" applyBorder="1" applyAlignment="1">
      <alignment horizontal="center" vertical="center"/>
    </xf>
    <xf numFmtId="0" fontId="27" fillId="16" borderId="43" xfId="0" applyFont="1" applyFill="1" applyBorder="1" applyAlignment="1">
      <alignment horizontal="center" vertical="center"/>
    </xf>
    <xf numFmtId="0" fontId="27" fillId="16" borderId="39" xfId="0" applyFont="1" applyFill="1" applyBorder="1" applyAlignment="1">
      <alignment horizontal="center" vertical="center"/>
    </xf>
    <xf numFmtId="0" fontId="30" fillId="6" borderId="39" xfId="1" applyFont="1" applyFill="1" applyBorder="1" applyAlignment="1">
      <alignment horizontal="center" vertical="center"/>
    </xf>
    <xf numFmtId="0" fontId="31" fillId="16" borderId="41" xfId="0" applyFont="1" applyFill="1" applyBorder="1" applyAlignment="1">
      <alignment horizontal="center" vertical="center"/>
    </xf>
    <xf numFmtId="0" fontId="31" fillId="24" borderId="41" xfId="0" applyFont="1" applyFill="1" applyBorder="1" applyAlignment="1">
      <alignment horizontal="center" vertical="center"/>
    </xf>
    <xf numFmtId="0" fontId="32" fillId="18" borderId="0" xfId="0" applyFont="1" applyFill="1" applyAlignment="1">
      <alignment horizontal="center" vertical="center"/>
    </xf>
    <xf numFmtId="0" fontId="1" fillId="6" borderId="39" xfId="0" applyFont="1" applyFill="1" applyBorder="1" applyAlignment="1">
      <alignment horizontal="center" vertical="center"/>
    </xf>
    <xf numFmtId="0" fontId="4" fillId="8" borderId="23" xfId="0" quotePrefix="1" applyFont="1" applyFill="1" applyBorder="1" applyAlignment="1" applyProtection="1">
      <alignment horizontal="center" vertical="center"/>
      <protection locked="0"/>
    </xf>
    <xf numFmtId="0" fontId="33" fillId="6" borderId="39" xfId="0" applyFont="1" applyFill="1" applyBorder="1" applyAlignment="1">
      <alignment horizontal="center" vertical="center"/>
    </xf>
    <xf numFmtId="0" fontId="34" fillId="6" borderId="39" xfId="0" applyFont="1" applyFill="1" applyBorder="1" applyAlignment="1">
      <alignment horizontal="center" vertical="center"/>
    </xf>
    <xf numFmtId="0" fontId="35" fillId="6" borderId="39" xfId="0" applyFont="1" applyFill="1" applyBorder="1" applyAlignment="1">
      <alignment horizontal="center" vertical="center"/>
    </xf>
    <xf numFmtId="0" fontId="36" fillId="6" borderId="39" xfId="1" applyFont="1" applyFill="1" applyBorder="1" applyAlignment="1">
      <alignment horizontal="center" vertical="center"/>
    </xf>
    <xf numFmtId="0" fontId="37" fillId="6" borderId="39" xfId="1" applyFont="1" applyFill="1" applyBorder="1" applyAlignment="1">
      <alignment horizontal="center" vertical="center"/>
    </xf>
    <xf numFmtId="0" fontId="38" fillId="21" borderId="39" xfId="0" applyFont="1" applyFill="1" applyBorder="1" applyAlignment="1">
      <alignment horizontal="center" vertical="center"/>
    </xf>
    <xf numFmtId="0" fontId="15" fillId="18" borderId="33" xfId="0" applyFont="1" applyFill="1" applyBorder="1" applyAlignment="1">
      <alignment horizontal="center" vertical="center"/>
    </xf>
    <xf numFmtId="0" fontId="36" fillId="25" borderId="39" xfId="0" applyFont="1" applyFill="1" applyBorder="1" applyAlignment="1">
      <alignment horizontal="center" vertical="center"/>
    </xf>
    <xf numFmtId="0" fontId="19" fillId="19" borderId="0" xfId="0" applyFont="1" applyFill="1" applyAlignment="1">
      <alignment horizontal="center" vertical="center" wrapText="1"/>
    </xf>
    <xf numFmtId="0" fontId="0" fillId="27" borderId="0" xfId="0" applyFill="1" applyAlignment="1">
      <alignment horizontal="center" vertical="center"/>
    </xf>
    <xf numFmtId="0" fontId="0" fillId="26" borderId="0" xfId="0" applyFill="1" applyAlignment="1">
      <alignment horizontal="center" vertical="center"/>
    </xf>
    <xf numFmtId="0" fontId="27" fillId="16" borderId="40" xfId="0" applyFont="1" applyFill="1" applyBorder="1" applyAlignment="1">
      <alignment horizontal="center" vertical="center"/>
    </xf>
    <xf numFmtId="0" fontId="19" fillId="19" borderId="0" xfId="0" applyFont="1" applyFill="1" applyAlignment="1">
      <alignment vertical="center" wrapText="1"/>
    </xf>
    <xf numFmtId="0" fontId="40" fillId="6" borderId="39" xfId="0" applyFont="1" applyFill="1" applyBorder="1" applyAlignment="1">
      <alignment horizontal="center" vertical="center"/>
    </xf>
    <xf numFmtId="0" fontId="40" fillId="6" borderId="40" xfId="0" applyFont="1" applyFill="1" applyBorder="1" applyAlignment="1">
      <alignment horizontal="center" vertical="center"/>
    </xf>
    <xf numFmtId="0" fontId="27" fillId="6" borderId="39" xfId="0" applyFont="1" applyFill="1" applyBorder="1" applyAlignment="1">
      <alignment horizontal="center" vertical="center" wrapText="1"/>
    </xf>
    <xf numFmtId="0" fontId="18" fillId="6" borderId="39" xfId="0" applyFont="1" applyFill="1" applyBorder="1" applyAlignment="1">
      <alignment horizontal="center" vertical="center"/>
    </xf>
    <xf numFmtId="0" fontId="41" fillId="6" borderId="39" xfId="0" applyFont="1" applyFill="1" applyBorder="1" applyAlignment="1">
      <alignment horizontal="center" vertical="center"/>
    </xf>
    <xf numFmtId="0" fontId="41" fillId="6" borderId="40" xfId="0" applyFont="1" applyFill="1" applyBorder="1" applyAlignment="1">
      <alignment horizontal="center" vertical="center"/>
    </xf>
    <xf numFmtId="0" fontId="6" fillId="9" borderId="23" xfId="0" quotePrefix="1" applyFont="1" applyFill="1" applyBorder="1" applyAlignment="1" applyProtection="1">
      <alignment horizontal="center" vertical="center"/>
      <protection locked="0"/>
    </xf>
    <xf numFmtId="0" fontId="42" fillId="18" borderId="47" xfId="0" applyFont="1" applyFill="1" applyBorder="1" applyAlignment="1">
      <alignment horizontal="center" vertical="center"/>
    </xf>
    <xf numFmtId="0" fontId="42" fillId="29" borderId="47" xfId="0" applyFont="1" applyFill="1" applyBorder="1" applyAlignment="1">
      <alignment horizontal="center" vertical="center"/>
    </xf>
    <xf numFmtId="0" fontId="4" fillId="11" borderId="45" xfId="0" applyFont="1" applyFill="1" applyBorder="1" applyAlignment="1" applyProtection="1">
      <alignment horizontal="center" vertical="center"/>
      <protection locked="0"/>
    </xf>
    <xf numFmtId="165" fontId="6" fillId="9" borderId="23" xfId="0" applyNumberFormat="1" applyFont="1" applyFill="1" applyBorder="1" applyAlignment="1" applyProtection="1">
      <alignment horizontal="center" vertical="center"/>
      <protection locked="0"/>
    </xf>
    <xf numFmtId="0" fontId="4" fillId="8" borderId="23" xfId="0" applyFont="1" applyFill="1" applyBorder="1" applyAlignment="1" applyProtection="1">
      <alignment horizontal="center" vertical="center" wrapText="1"/>
      <protection locked="0"/>
    </xf>
    <xf numFmtId="0" fontId="6" fillId="7" borderId="45" xfId="0" applyFont="1" applyFill="1" applyBorder="1" applyAlignment="1" applyProtection="1">
      <alignment horizontal="center" vertical="center"/>
      <protection locked="0"/>
    </xf>
    <xf numFmtId="0" fontId="6" fillId="9" borderId="45" xfId="0" applyFont="1" applyFill="1" applyBorder="1" applyAlignment="1" applyProtection="1">
      <alignment horizontal="center" vertical="center"/>
      <protection locked="0"/>
    </xf>
    <xf numFmtId="0" fontId="1" fillId="6" borderId="0" xfId="0" applyFont="1" applyFill="1" applyAlignment="1">
      <alignment horizontal="center" vertical="center"/>
    </xf>
    <xf numFmtId="0" fontId="0" fillId="30" borderId="0" xfId="0" applyFill="1" applyAlignment="1">
      <alignment horizontal="center" vertical="center"/>
    </xf>
    <xf numFmtId="0" fontId="38" fillId="31" borderId="39" xfId="0" applyFont="1" applyFill="1" applyBorder="1" applyAlignment="1">
      <alignment horizontal="center" vertical="center"/>
    </xf>
    <xf numFmtId="0" fontId="27" fillId="32" borderId="40" xfId="0" applyFont="1" applyFill="1" applyBorder="1" applyAlignment="1">
      <alignment horizontal="center" vertical="center"/>
    </xf>
    <xf numFmtId="0" fontId="45" fillId="0" borderId="0" xfId="0" applyFont="1" applyAlignment="1">
      <alignment horizontal="left" vertical="center" wrapText="1" indent="4"/>
    </xf>
    <xf numFmtId="0" fontId="46" fillId="0" borderId="0" xfId="0" applyFont="1" applyAlignment="1">
      <alignment horizontal="left" vertical="center" wrapText="1" indent="1"/>
    </xf>
    <xf numFmtId="0" fontId="45" fillId="5" borderId="0" xfId="0" applyFont="1" applyFill="1" applyAlignment="1">
      <alignment horizontal="center" vertical="center" wrapText="1"/>
    </xf>
    <xf numFmtId="0" fontId="48" fillId="9" borderId="23" xfId="0" applyFont="1" applyFill="1" applyBorder="1" applyAlignment="1" applyProtection="1">
      <alignment horizontal="center" vertical="center" wrapText="1"/>
      <protection locked="0"/>
    </xf>
    <xf numFmtId="0" fontId="15" fillId="18" borderId="0" xfId="0" applyFont="1" applyFill="1" applyAlignment="1">
      <alignment horizontal="center" vertical="center"/>
    </xf>
    <xf numFmtId="0" fontId="38" fillId="32" borderId="39" xfId="0" applyFont="1" applyFill="1" applyBorder="1" applyAlignment="1">
      <alignment horizontal="center" vertical="center"/>
    </xf>
    <xf numFmtId="0" fontId="50" fillId="32" borderId="1" xfId="0" applyFont="1" applyFill="1" applyBorder="1" applyAlignment="1">
      <alignment horizontal="center" vertical="center" wrapText="1"/>
    </xf>
    <xf numFmtId="0" fontId="50" fillId="32" borderId="0" xfId="0" applyFont="1" applyFill="1" applyBorder="1" applyAlignment="1">
      <alignment horizontal="center" vertical="center" wrapText="1"/>
    </xf>
    <xf numFmtId="0" fontId="51" fillId="32" borderId="23" xfId="0" applyFont="1" applyFill="1" applyBorder="1" applyAlignment="1">
      <alignment horizontal="center" vertical="center" wrapText="1"/>
    </xf>
    <xf numFmtId="0" fontId="6" fillId="9" borderId="24" xfId="0" applyFont="1" applyFill="1" applyBorder="1" applyAlignment="1" applyProtection="1">
      <alignment horizontal="center" vertical="center" wrapText="1"/>
      <protection locked="0"/>
    </xf>
    <xf numFmtId="0" fontId="6" fillId="6" borderId="22" xfId="0" applyFont="1" applyFill="1" applyBorder="1" applyAlignment="1" applyProtection="1">
      <alignment horizontal="center" vertical="center"/>
      <protection locked="0"/>
    </xf>
    <xf numFmtId="0" fontId="6" fillId="6" borderId="23" xfId="0" applyFont="1" applyFill="1" applyBorder="1" applyAlignment="1" applyProtection="1">
      <alignment horizontal="center" vertical="center"/>
      <protection locked="0"/>
    </xf>
    <xf numFmtId="0" fontId="7" fillId="6" borderId="23" xfId="0" applyFont="1" applyFill="1" applyBorder="1" applyAlignment="1" applyProtection="1">
      <alignment horizontal="center" vertical="center"/>
      <protection locked="0"/>
    </xf>
    <xf numFmtId="165" fontId="6" fillId="6" borderId="24" xfId="0" applyNumberFormat="1" applyFont="1" applyFill="1" applyBorder="1" applyAlignment="1" applyProtection="1">
      <alignment horizontal="center" vertical="center"/>
      <protection locked="0"/>
    </xf>
    <xf numFmtId="0" fontId="6" fillId="6" borderId="24" xfId="0" applyFont="1" applyFill="1" applyBorder="1" applyAlignment="1" applyProtection="1">
      <alignment horizontal="center" vertical="center"/>
      <protection locked="0"/>
    </xf>
    <xf numFmtId="0" fontId="6" fillId="6" borderId="14" xfId="0" applyFont="1" applyFill="1" applyBorder="1" applyAlignment="1" applyProtection="1">
      <alignment horizontal="center" vertical="center"/>
      <protection locked="0"/>
    </xf>
    <xf numFmtId="0" fontId="6" fillId="9" borderId="0" xfId="0" applyFont="1" applyFill="1" applyBorder="1" applyAlignment="1" applyProtection="1">
      <alignment horizontal="center" vertical="center"/>
      <protection locked="0"/>
    </xf>
    <xf numFmtId="0" fontId="4" fillId="11" borderId="0" xfId="0" applyFont="1" applyFill="1" applyBorder="1" applyAlignment="1" applyProtection="1">
      <alignment horizontal="center" vertical="center"/>
      <protection locked="0"/>
    </xf>
    <xf numFmtId="0" fontId="0" fillId="2" borderId="0" xfId="0" applyFill="1" applyAlignment="1">
      <alignment horizontal="center"/>
    </xf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 wrapText="1"/>
    </xf>
    <xf numFmtId="166" fontId="0" fillId="0" borderId="0" xfId="0" applyNumberFormat="1"/>
    <xf numFmtId="0" fontId="0" fillId="29" borderId="0" xfId="0" applyFill="1"/>
    <xf numFmtId="166" fontId="52" fillId="0" borderId="0" xfId="0" applyNumberFormat="1" applyFont="1"/>
    <xf numFmtId="0" fontId="4" fillId="29" borderId="23" xfId="0" applyFont="1" applyFill="1" applyBorder="1" applyAlignment="1" applyProtection="1">
      <alignment horizontal="center" vertical="center"/>
      <protection locked="0"/>
    </xf>
    <xf numFmtId="0" fontId="4" fillId="33" borderId="23" xfId="0" applyFont="1" applyFill="1" applyBorder="1" applyAlignment="1" applyProtection="1">
      <alignment horizontal="center" vertical="center"/>
      <protection locked="0"/>
    </xf>
    <xf numFmtId="167" fontId="0" fillId="0" borderId="0" xfId="0" applyNumberFormat="1"/>
    <xf numFmtId="167" fontId="52" fillId="0" borderId="0" xfId="0" applyNumberFormat="1" applyFont="1"/>
    <xf numFmtId="167" fontId="53" fillId="0" borderId="0" xfId="0" applyNumberFormat="1" applyFont="1"/>
    <xf numFmtId="165" fontId="6" fillId="29" borderId="24" xfId="0" applyNumberFormat="1" applyFont="1" applyFill="1" applyBorder="1" applyAlignment="1" applyProtection="1">
      <alignment horizontal="center" vertical="center"/>
      <protection locked="0"/>
    </xf>
    <xf numFmtId="0" fontId="4" fillId="34" borderId="23" xfId="0" applyFont="1" applyFill="1" applyBorder="1" applyAlignment="1" applyProtection="1">
      <alignment horizontal="center" vertical="center"/>
      <protection locked="0"/>
    </xf>
    <xf numFmtId="165" fontId="6" fillId="34" borderId="24" xfId="0" applyNumberFormat="1" applyFont="1" applyFill="1" applyBorder="1" applyAlignment="1" applyProtection="1">
      <alignment horizontal="center" vertical="center"/>
      <protection locked="0"/>
    </xf>
    <xf numFmtId="0" fontId="53" fillId="8" borderId="23" xfId="0" applyFont="1" applyFill="1" applyBorder="1" applyAlignment="1" applyProtection="1">
      <alignment horizontal="center" vertical="center"/>
      <protection locked="0"/>
    </xf>
    <xf numFmtId="168" fontId="4" fillId="8" borderId="23" xfId="0" applyNumberFormat="1" applyFont="1" applyFill="1" applyBorder="1" applyAlignment="1" applyProtection="1">
      <alignment horizontal="center" vertical="center"/>
      <protection locked="0"/>
    </xf>
    <xf numFmtId="168" fontId="6" fillId="9" borderId="23" xfId="0" applyNumberFormat="1" applyFont="1" applyFill="1" applyBorder="1" applyAlignment="1" applyProtection="1">
      <alignment horizontal="center" vertical="center"/>
      <protection locked="0"/>
    </xf>
    <xf numFmtId="168" fontId="6" fillId="7" borderId="23" xfId="0" applyNumberFormat="1" applyFont="1" applyFill="1" applyBorder="1" applyAlignment="1" applyProtection="1">
      <alignment horizontal="center" vertical="center"/>
      <protection locked="0"/>
    </xf>
    <xf numFmtId="168" fontId="4" fillId="11" borderId="23" xfId="0" applyNumberFormat="1" applyFont="1" applyFill="1" applyBorder="1" applyAlignment="1" applyProtection="1">
      <alignment horizontal="center" vertical="center"/>
      <protection locked="0"/>
    </xf>
    <xf numFmtId="168" fontId="6" fillId="6" borderId="23" xfId="0" applyNumberFormat="1" applyFont="1" applyFill="1" applyBorder="1" applyAlignment="1" applyProtection="1">
      <alignment horizontal="center" vertical="center"/>
      <protection locked="0"/>
    </xf>
    <xf numFmtId="0" fontId="15" fillId="18" borderId="0" xfId="0" applyFont="1" applyFill="1" applyAlignment="1">
      <alignment horizontal="center" vertical="center"/>
    </xf>
    <xf numFmtId="0" fontId="15" fillId="18" borderId="33" xfId="0" applyFont="1" applyFill="1" applyBorder="1" applyAlignment="1">
      <alignment horizontal="center" vertical="center"/>
    </xf>
    <xf numFmtId="0" fontId="39" fillId="16" borderId="0" xfId="0" applyFont="1" applyFill="1" applyAlignment="1">
      <alignment horizontal="center" vertical="center"/>
    </xf>
    <xf numFmtId="0" fontId="1" fillId="28" borderId="32" xfId="0" applyFont="1" applyFill="1" applyBorder="1" applyAlignment="1">
      <alignment horizontal="center" vertical="center" textRotation="90" wrapText="1"/>
    </xf>
    <xf numFmtId="0" fontId="1" fillId="28" borderId="38" xfId="0" applyFont="1" applyFill="1" applyBorder="1" applyAlignment="1">
      <alignment horizontal="center" vertical="center" textRotation="90" wrapText="1"/>
    </xf>
    <xf numFmtId="14" fontId="12" fillId="17" borderId="0" xfId="0" applyNumberFormat="1" applyFont="1" applyFill="1" applyAlignment="1">
      <alignment horizontal="center" vertical="center"/>
    </xf>
    <xf numFmtId="0" fontId="13" fillId="18" borderId="25" xfId="0" applyFont="1" applyFill="1" applyBorder="1" applyAlignment="1">
      <alignment horizontal="center" vertical="center"/>
    </xf>
    <xf numFmtId="0" fontId="13" fillId="18" borderId="26" xfId="0" applyFont="1" applyFill="1" applyBorder="1" applyAlignment="1">
      <alignment horizontal="center" vertical="center"/>
    </xf>
    <xf numFmtId="0" fontId="13" fillId="18" borderId="28" xfId="0" applyFont="1" applyFill="1" applyBorder="1" applyAlignment="1">
      <alignment horizontal="center" vertical="center"/>
    </xf>
    <xf numFmtId="0" fontId="1" fillId="6" borderId="32" xfId="0" applyFont="1" applyFill="1" applyBorder="1" applyAlignment="1">
      <alignment horizontal="center" vertical="center" textRotation="90" wrapText="1"/>
    </xf>
    <xf numFmtId="0" fontId="1" fillId="6" borderId="38" xfId="0" applyFont="1" applyFill="1" applyBorder="1" applyAlignment="1">
      <alignment horizontal="center" vertical="center" textRotation="90" wrapText="1"/>
    </xf>
    <xf numFmtId="0" fontId="1" fillId="28" borderId="29" xfId="0" applyFont="1" applyFill="1" applyBorder="1" applyAlignment="1">
      <alignment horizontal="center" vertical="center" textRotation="90" wrapText="1"/>
    </xf>
    <xf numFmtId="0" fontId="1" fillId="28" borderId="35" xfId="0" applyFont="1" applyFill="1" applyBorder="1" applyAlignment="1">
      <alignment horizontal="center" vertical="center" textRotation="90" wrapText="1"/>
    </xf>
    <xf numFmtId="0" fontId="1" fillId="6" borderId="30" xfId="0" applyFont="1" applyFill="1" applyBorder="1" applyAlignment="1">
      <alignment horizontal="center" vertical="center" textRotation="90" wrapText="1"/>
    </xf>
    <xf numFmtId="0" fontId="1" fillId="6" borderId="36" xfId="0" applyFont="1" applyFill="1" applyBorder="1" applyAlignment="1">
      <alignment horizontal="center" vertical="center" textRotation="90" wrapText="1"/>
    </xf>
    <xf numFmtId="0" fontId="16" fillId="18" borderId="33" xfId="0" applyFont="1" applyFill="1" applyBorder="1" applyAlignment="1">
      <alignment horizontal="center"/>
    </xf>
    <xf numFmtId="0" fontId="1" fillId="28" borderId="30" xfId="0" applyFont="1" applyFill="1" applyBorder="1" applyAlignment="1">
      <alignment horizontal="center" vertical="center" textRotation="90" wrapText="1"/>
    </xf>
    <xf numFmtId="0" fontId="1" fillId="28" borderId="36" xfId="0" applyFont="1" applyFill="1" applyBorder="1" applyAlignment="1">
      <alignment horizontal="center" vertical="center" textRotation="90" wrapText="1"/>
    </xf>
    <xf numFmtId="0" fontId="1" fillId="6" borderId="29" xfId="0" applyFont="1" applyFill="1" applyBorder="1" applyAlignment="1">
      <alignment horizontal="center" vertical="center" textRotation="90" wrapText="1"/>
    </xf>
    <xf numFmtId="0" fontId="1" fillId="6" borderId="35" xfId="0" applyFont="1" applyFill="1" applyBorder="1" applyAlignment="1">
      <alignment horizontal="center" vertical="center" textRotation="90" wrapText="1"/>
    </xf>
    <xf numFmtId="0" fontId="1" fillId="6" borderId="31" xfId="0" applyFont="1" applyFill="1" applyBorder="1" applyAlignment="1">
      <alignment horizontal="center" vertical="center" textRotation="90" wrapText="1"/>
    </xf>
    <xf numFmtId="0" fontId="1" fillId="6" borderId="37" xfId="0" applyFont="1" applyFill="1" applyBorder="1" applyAlignment="1">
      <alignment horizontal="center" vertical="center" textRotation="90" wrapText="1"/>
    </xf>
    <xf numFmtId="0" fontId="24" fillId="16" borderId="0" xfId="0" applyFont="1" applyFill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 vertical="center"/>
    </xf>
    <xf numFmtId="0" fontId="2" fillId="3" borderId="15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 wrapText="1"/>
    </xf>
    <xf numFmtId="0" fontId="0" fillId="5" borderId="0" xfId="0" applyFill="1" applyAlignment="1">
      <alignment horizontal="center" vertical="center" wrapText="1"/>
    </xf>
    <xf numFmtId="0" fontId="0" fillId="5" borderId="16" xfId="0" applyFill="1" applyBorder="1" applyAlignment="1">
      <alignment horizontal="center" vertical="center" wrapText="1"/>
    </xf>
    <xf numFmtId="0" fontId="1" fillId="4" borderId="2" xfId="0" applyFont="1" applyFill="1" applyBorder="1" applyAlignment="1">
      <alignment horizontal="center" vertical="center" wrapText="1"/>
    </xf>
    <xf numFmtId="0" fontId="1" fillId="4" borderId="10" xfId="0" applyFont="1" applyFill="1" applyBorder="1" applyAlignment="1">
      <alignment horizontal="center" vertical="center" wrapText="1"/>
    </xf>
    <xf numFmtId="0" fontId="1" fillId="4" borderId="3" xfId="0" applyFont="1" applyFill="1" applyBorder="1" applyAlignment="1">
      <alignment horizontal="center" vertical="center" wrapText="1"/>
    </xf>
    <xf numFmtId="0" fontId="1" fillId="4" borderId="11" xfId="0" applyFont="1" applyFill="1" applyBorder="1" applyAlignment="1">
      <alignment horizontal="center" vertical="center" wrapText="1"/>
    </xf>
    <xf numFmtId="0" fontId="1" fillId="4" borderId="17" xfId="0" applyFont="1" applyFill="1" applyBorder="1" applyAlignment="1">
      <alignment horizontal="center" vertical="center" wrapText="1"/>
    </xf>
    <xf numFmtId="0" fontId="1" fillId="4" borderId="18" xfId="0" applyFont="1" applyFill="1" applyBorder="1" applyAlignment="1">
      <alignment horizontal="center" vertical="center" wrapText="1"/>
    </xf>
    <xf numFmtId="0" fontId="54" fillId="35" borderId="45" xfId="0" applyFont="1" applyFill="1" applyBorder="1" applyAlignment="1">
      <alignment horizontal="center" wrapText="1"/>
    </xf>
    <xf numFmtId="0" fontId="54" fillId="35" borderId="45" xfId="0" applyFont="1" applyFill="1" applyBorder="1" applyAlignment="1">
      <alignment horizontal="center" vertical="center"/>
    </xf>
    <xf numFmtId="0" fontId="54" fillId="35" borderId="45" xfId="0" applyFont="1" applyFill="1" applyBorder="1" applyAlignment="1">
      <alignment horizontal="center"/>
    </xf>
    <xf numFmtId="0" fontId="54" fillId="35" borderId="45" xfId="0" applyFont="1" applyFill="1" applyBorder="1" applyAlignment="1">
      <alignment horizontal="center" vertical="center" wrapText="1"/>
    </xf>
    <xf numFmtId="0" fontId="0" fillId="36" borderId="0" xfId="0" applyFill="1"/>
    <xf numFmtId="0" fontId="0" fillId="0" borderId="45" xfId="0" applyBorder="1" applyAlignment="1">
      <alignment horizontal="center"/>
    </xf>
    <xf numFmtId="0" fontId="0" fillId="0" borderId="45" xfId="0" applyBorder="1" applyAlignment="1">
      <alignment horizontal="left"/>
    </xf>
    <xf numFmtId="0" fontId="0" fillId="0" borderId="45" xfId="0" applyBorder="1"/>
    <xf numFmtId="0" fontId="0" fillId="36" borderId="45" xfId="0" applyFill="1" applyBorder="1" applyAlignment="1">
      <alignment horizontal="center" vertical="center"/>
    </xf>
    <xf numFmtId="0" fontId="18" fillId="0" borderId="45" xfId="0" applyFont="1" applyBorder="1" applyAlignment="1">
      <alignment horizontal="left" vertical="center"/>
    </xf>
    <xf numFmtId="0" fontId="55" fillId="0" borderId="45" xfId="0" applyFont="1" applyBorder="1" applyAlignment="1">
      <alignment horizontal="center" vertical="center"/>
    </xf>
    <xf numFmtId="9" fontId="0" fillId="0" borderId="45" xfId="0" applyNumberFormat="1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0" fillId="37" borderId="0" xfId="0" applyFill="1"/>
    <xf numFmtId="9" fontId="55" fillId="0" borderId="45" xfId="0" applyNumberFormat="1" applyFont="1" applyBorder="1" applyAlignment="1">
      <alignment horizontal="center" vertical="center"/>
    </xf>
    <xf numFmtId="0" fontId="0" fillId="0" borderId="45" xfId="0" applyBorder="1" applyAlignment="1">
      <alignment wrapText="1"/>
    </xf>
    <xf numFmtId="0" fontId="0" fillId="38" borderId="0" xfId="0" applyFill="1"/>
    <xf numFmtId="0" fontId="0" fillId="0" borderId="0" xfId="0" applyAlignment="1">
      <alignment horizontal="center"/>
    </xf>
    <xf numFmtId="0" fontId="0" fillId="0" borderId="48" xfId="0" applyBorder="1"/>
    <xf numFmtId="0" fontId="0" fillId="0" borderId="0" xfId="0" applyAlignment="1">
      <alignment horizontal="center" vertical="center"/>
    </xf>
    <xf numFmtId="0" fontId="57" fillId="39" borderId="49" xfId="0" applyFont="1" applyFill="1" applyBorder="1" applyAlignment="1">
      <alignment horizontal="center" vertical="center"/>
    </xf>
    <xf numFmtId="0" fontId="57" fillId="39" borderId="50" xfId="0" applyFont="1" applyFill="1" applyBorder="1" applyAlignment="1">
      <alignment horizontal="center" vertical="center"/>
    </xf>
    <xf numFmtId="0" fontId="56" fillId="39" borderId="51" xfId="0" applyFont="1" applyFill="1" applyBorder="1" applyAlignment="1">
      <alignment horizontal="center" vertical="center"/>
    </xf>
    <xf numFmtId="0" fontId="56" fillId="39" borderId="52" xfId="0" applyFont="1" applyFill="1" applyBorder="1" applyAlignment="1">
      <alignment horizontal="center" vertical="center"/>
    </xf>
    <xf numFmtId="0" fontId="56" fillId="39" borderId="52" xfId="0" applyFont="1" applyFill="1" applyBorder="1" applyAlignment="1">
      <alignment horizontal="left" vertical="center"/>
    </xf>
    <xf numFmtId="0" fontId="4" fillId="11" borderId="23" xfId="0" quotePrefix="1" applyFont="1" applyFill="1" applyBorder="1" applyAlignment="1" applyProtection="1">
      <alignment horizontal="center" vertical="center"/>
      <protection locked="0"/>
    </xf>
    <xf numFmtId="0" fontId="6" fillId="7" borderId="23" xfId="0" quotePrefix="1" applyFont="1" applyFill="1" applyBorder="1" applyAlignment="1" applyProtection="1">
      <alignment horizontal="center" vertical="center"/>
      <protection locked="0"/>
    </xf>
    <xf numFmtId="165" fontId="4" fillId="8" borderId="24" xfId="0" quotePrefix="1" applyNumberFormat="1" applyFont="1" applyFill="1" applyBorder="1" applyAlignment="1" applyProtection="1">
      <alignment horizontal="center" vertical="center"/>
      <protection locked="0"/>
    </xf>
    <xf numFmtId="165" fontId="6" fillId="9" borderId="24" xfId="0" quotePrefix="1" applyNumberFormat="1" applyFont="1" applyFill="1" applyBorder="1" applyAlignment="1" applyProtection="1">
      <alignment horizontal="center" vertical="center"/>
      <protection locked="0"/>
    </xf>
    <xf numFmtId="0" fontId="58" fillId="39" borderId="51" xfId="0" applyFont="1" applyFill="1" applyBorder="1" applyAlignment="1">
      <alignment horizontal="center" vertical="center"/>
    </xf>
    <xf numFmtId="0" fontId="58" fillId="39" borderId="52" xfId="0" applyFont="1" applyFill="1" applyBorder="1" applyAlignment="1">
      <alignment horizontal="center" vertical="center"/>
    </xf>
    <xf numFmtId="0" fontId="58" fillId="39" borderId="52" xfId="0" applyFont="1" applyFill="1" applyBorder="1" applyAlignment="1">
      <alignment horizontal="left" vertical="center"/>
    </xf>
    <xf numFmtId="0" fontId="57" fillId="39" borderId="53" xfId="0" applyFont="1" applyFill="1" applyBorder="1" applyAlignment="1">
      <alignment horizontal="center" vertical="center"/>
    </xf>
    <xf numFmtId="0" fontId="54" fillId="35" borderId="0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</cellXfs>
  <cellStyles count="3">
    <cellStyle name="Hyperlink 2" xfId="1" xr:uid="{3CC20278-5FA1-407C-AE11-4F4084FCE113}"/>
    <cellStyle name="Normal" xfId="0" builtinId="0"/>
    <cellStyle name="Normal 2" xfId="2" xr:uid="{DFE36B8E-A108-43FE-8507-30A4716EC608}"/>
  </cellStyles>
  <dxfs count="5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color theme="0"/>
      </font>
      <fill>
        <patternFill>
          <bgColor rgb="FF00B050"/>
        </patternFill>
      </fill>
    </dxf>
    <dxf>
      <font>
        <b val="0"/>
        <i val="0"/>
        <color theme="0"/>
      </font>
      <fill>
        <patternFill>
          <bgColor rgb="FFC00000"/>
        </patternFill>
      </fill>
    </dxf>
    <dxf>
      <font>
        <color auto="1"/>
      </font>
      <fill>
        <patternFill>
          <bgColor theme="7" tint="0.39994506668294322"/>
        </patternFill>
      </fill>
    </dxf>
    <dxf>
      <font>
        <color theme="0" tint="-4.9989318521683403E-2"/>
      </font>
      <fill>
        <patternFill>
          <bgColor rgb="FF00B050"/>
        </patternFill>
      </fill>
    </dxf>
    <dxf>
      <font>
        <b val="0"/>
        <i val="0"/>
        <color theme="1" tint="0.24994659260841701"/>
      </font>
      <fill>
        <patternFill>
          <bgColor rgb="FFFFB300"/>
        </patternFill>
      </fill>
    </dxf>
    <dxf>
      <font>
        <color theme="0" tint="-0.14996795556505021"/>
      </font>
      <fill>
        <patternFill>
          <bgColor rgb="FFFF5050"/>
        </patternFill>
      </fill>
    </dxf>
    <dxf>
      <font>
        <color theme="1" tint="0.24994659260841701"/>
      </font>
      <fill>
        <patternFill>
          <bgColor rgb="FF1DFF83"/>
        </patternFill>
      </fill>
    </dxf>
    <dxf>
      <font>
        <color theme="1" tint="0.34998626667073579"/>
      </font>
      <fill>
        <patternFill>
          <bgColor theme="8" tint="0.39994506668294322"/>
        </patternFill>
      </fill>
    </dxf>
    <dxf>
      <font>
        <color auto="1"/>
      </font>
      <fill>
        <patternFill>
          <bgColor rgb="FFBC7CEC"/>
        </patternFill>
      </fill>
    </dxf>
    <dxf>
      <font>
        <color auto="1"/>
      </font>
      <fill>
        <patternFill>
          <bgColor rgb="FFFA6ECB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 tint="-4.9989318521683403E-2"/>
      </font>
      <fill>
        <patternFill>
          <bgColor rgb="FF00B050"/>
        </patternFill>
      </fill>
    </dxf>
    <dxf>
      <font>
        <b val="0"/>
        <i val="0"/>
        <color theme="1" tint="0.24994659260841701"/>
      </font>
      <fill>
        <patternFill>
          <bgColor rgb="FFFFB300"/>
        </patternFill>
      </fill>
    </dxf>
    <dxf>
      <font>
        <color theme="0" tint="-0.14996795556505021"/>
      </font>
      <fill>
        <patternFill>
          <bgColor rgb="FFFF5050"/>
        </patternFill>
      </fill>
    </dxf>
    <dxf>
      <font>
        <color theme="1" tint="0.24994659260841701"/>
      </font>
      <fill>
        <patternFill>
          <bgColor rgb="FF1DFF83"/>
        </patternFill>
      </fill>
    </dxf>
    <dxf>
      <font>
        <color theme="1" tint="0.34998626667073579"/>
      </font>
      <fill>
        <patternFill>
          <bgColor theme="8" tint="0.39994506668294322"/>
        </patternFill>
      </fill>
    </dxf>
    <dxf>
      <font>
        <color auto="1"/>
      </font>
      <fill>
        <patternFill>
          <bgColor rgb="FFBC7CEC"/>
        </patternFill>
      </fill>
    </dxf>
    <dxf>
      <font>
        <color auto="1"/>
      </font>
      <fill>
        <patternFill>
          <bgColor rgb="FFFA6ECB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 tint="-4.9989318521683403E-2"/>
      </font>
      <fill>
        <patternFill>
          <bgColor rgb="FF00B050"/>
        </patternFill>
      </fill>
    </dxf>
    <dxf>
      <font>
        <b val="0"/>
        <i val="0"/>
        <color theme="1" tint="0.24994659260841701"/>
      </font>
      <fill>
        <patternFill>
          <bgColor rgb="FFFFB300"/>
        </patternFill>
      </fill>
    </dxf>
    <dxf>
      <font>
        <color theme="0" tint="-0.14996795556505021"/>
      </font>
      <fill>
        <patternFill>
          <bgColor rgb="FFFF5050"/>
        </patternFill>
      </fill>
    </dxf>
    <dxf>
      <font>
        <color theme="1" tint="0.24994659260841701"/>
      </font>
      <fill>
        <patternFill>
          <bgColor rgb="FF1DFF83"/>
        </patternFill>
      </fill>
    </dxf>
    <dxf>
      <font>
        <color theme="1" tint="0.34998626667073579"/>
      </font>
      <fill>
        <patternFill>
          <bgColor theme="8" tint="0.39994506668294322"/>
        </patternFill>
      </fill>
    </dxf>
    <dxf>
      <font>
        <color auto="1"/>
      </font>
      <fill>
        <patternFill>
          <bgColor rgb="FFBC7CEC"/>
        </patternFill>
      </fill>
    </dxf>
    <dxf>
      <font>
        <color auto="1"/>
      </font>
      <fill>
        <patternFill>
          <bgColor rgb="FFFA6ECB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 tint="-4.9989318521683403E-2"/>
      </font>
      <fill>
        <patternFill>
          <bgColor rgb="FF00B050"/>
        </patternFill>
      </fill>
    </dxf>
    <dxf>
      <font>
        <b val="0"/>
        <i val="0"/>
        <color theme="1" tint="0.24994659260841701"/>
      </font>
      <fill>
        <patternFill>
          <bgColor rgb="FFFFB300"/>
        </patternFill>
      </fill>
    </dxf>
    <dxf>
      <font>
        <color theme="0" tint="-0.14996795556505021"/>
      </font>
      <fill>
        <patternFill>
          <bgColor rgb="FFFF5050"/>
        </patternFill>
      </fill>
    </dxf>
    <dxf>
      <font>
        <color theme="1" tint="0.24994659260841701"/>
      </font>
      <fill>
        <patternFill>
          <bgColor rgb="FF1DFF83"/>
        </patternFill>
      </fill>
    </dxf>
    <dxf>
      <font>
        <color theme="1" tint="0.34998626667073579"/>
      </font>
      <fill>
        <patternFill>
          <bgColor theme="8" tint="0.39994506668294322"/>
        </patternFill>
      </fill>
    </dxf>
    <dxf>
      <font>
        <color auto="1"/>
      </font>
      <fill>
        <patternFill>
          <bgColor rgb="FFBC7CEC"/>
        </patternFill>
      </fill>
    </dxf>
    <dxf>
      <font>
        <color auto="1"/>
      </font>
      <fill>
        <patternFill>
          <bgColor rgb="FFFA6ECB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 tint="-4.9989318521683403E-2"/>
      </font>
      <fill>
        <patternFill>
          <bgColor rgb="FF00B050"/>
        </patternFill>
      </fill>
    </dxf>
    <dxf>
      <font>
        <b val="0"/>
        <i val="0"/>
        <color theme="1" tint="0.24994659260841701"/>
      </font>
      <fill>
        <patternFill>
          <bgColor rgb="FFFFFF66"/>
        </patternFill>
      </fill>
    </dxf>
    <dxf>
      <font>
        <color theme="0" tint="-0.14996795556505021"/>
      </font>
      <fill>
        <patternFill>
          <bgColor rgb="FFFF5050"/>
        </patternFill>
      </fill>
    </dxf>
    <dxf>
      <font>
        <color theme="1" tint="0.24994659260841701"/>
      </font>
      <fill>
        <patternFill>
          <bgColor rgb="FF1DFF83"/>
        </patternFill>
      </fill>
    </dxf>
    <dxf>
      <font>
        <color theme="1" tint="0.24994659260841701"/>
      </font>
      <fill>
        <patternFill>
          <bgColor rgb="FFFFC000"/>
        </patternFill>
      </fill>
    </dxf>
    <dxf>
      <font>
        <color auto="1"/>
      </font>
      <fill>
        <patternFill>
          <bgColor rgb="FFBC7CEC"/>
        </patternFill>
      </fill>
    </dxf>
    <dxf>
      <font>
        <color auto="1"/>
      </font>
      <fill>
        <patternFill>
          <bgColor rgb="FFFA6ECB"/>
        </patternFill>
      </fill>
    </dxf>
    <dxf>
      <font>
        <color theme="1" tint="0.24994659260841701"/>
      </font>
      <fill>
        <patternFill>
          <bgColor rgb="FF00B050"/>
        </patternFill>
      </fill>
    </dxf>
    <dxf>
      <font>
        <b val="0"/>
        <i val="0"/>
        <color theme="1" tint="0.24994659260841701"/>
      </font>
      <fill>
        <patternFill>
          <bgColor rgb="FFFFB300"/>
        </patternFill>
      </fill>
    </dxf>
    <dxf>
      <font>
        <color theme="0" tint="-0.14996795556505021"/>
      </font>
      <fill>
        <patternFill>
          <bgColor rgb="FFD0021B"/>
        </patternFill>
      </fill>
    </dxf>
    <dxf>
      <font>
        <color theme="1" tint="0.24994659260841701"/>
      </font>
      <fill>
        <patternFill>
          <bgColor rgb="FF1DFF83"/>
        </patternFill>
      </fill>
    </dxf>
    <dxf>
      <font>
        <color theme="1" tint="0.34998626667073579"/>
      </font>
      <fill>
        <patternFill>
          <bgColor theme="8" tint="0.39994506668294322"/>
        </patternFill>
      </fill>
    </dxf>
    <dxf>
      <font>
        <color auto="1"/>
      </font>
      <fill>
        <patternFill>
          <bgColor rgb="FFBC7CEC"/>
        </patternFill>
      </fill>
    </dxf>
    <dxf>
      <font>
        <color auto="1"/>
      </font>
      <fill>
        <patternFill>
          <bgColor rgb="FFFA6ECB"/>
        </patternFill>
      </fill>
    </dxf>
    <dxf>
      <font>
        <color theme="0"/>
      </font>
      <fill>
        <patternFill>
          <bgColor theme="4" tint="-0.24994659260841701"/>
        </patternFill>
      </fill>
    </dxf>
    <dxf>
      <numFmt numFmtId="0" formatCode="General"/>
    </dxf>
    <dxf>
      <numFmt numFmtId="166" formatCode="_-[$€-2]\ * #,##0.00_-;\-[$€-2]\ * #,##0.00_-;_-[$€-2]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Calibri"/>
        <family val="2"/>
        <scheme val="minor"/>
      </font>
      <numFmt numFmtId="167" formatCode="0.000"/>
    </dxf>
    <dxf>
      <numFmt numFmtId="166" formatCode="_-[$€-2]\ * #,##0.00_-;\-[$€-2]\ * #,##0.00_-;_-[$€-2]\ * &quot;-&quot;??_-;_-@_-"/>
    </dxf>
    <dxf>
      <numFmt numFmtId="166" formatCode="_-[$€-2]\ * #,##0.00_-;\-[$€-2]\ * #,##0.00_-;_-[$€-2]\ * &quot;-&quot;??_-;_-@_-"/>
    </dxf>
  </dxfs>
  <tableStyles count="0" defaultTableStyle="TableStyleMedium2" defaultPivotStyle="PivotStyleLight16"/>
  <colors>
    <mruColors>
      <color rgb="FFC06CEE"/>
      <color rgb="FF28F877"/>
      <color rgb="FFBC7CEC"/>
      <color rgb="FFD0021B"/>
      <color rgb="FFFA6ECB"/>
      <color rgb="FFFFB300"/>
      <color rgb="FF665FFB"/>
      <color rgb="FF9BC814"/>
      <color rgb="FFBEE6FF"/>
      <color rgb="FF1DFF8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GFE12 RGPQP </a:t>
            </a:r>
            <a:r>
              <a:rPr lang="es-AR" sz="1600" b="1" i="0" u="none" strike="noStrike" baseline="0"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</a:rPr>
              <a:t>Progress of Remaining Deliverables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'DELIVERABLES PH2 - TOTAL'!$B$17</c:f>
              <c:strCache>
                <c:ptCount val="1"/>
                <c:pt idx="0">
                  <c:v>HCPP 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'DELIVERABLES PH2 - TOTAL'!$C$3:$L$3</c:f>
              <c:strCache>
                <c:ptCount val="10"/>
                <c:pt idx="0">
                  <c:v>W2434</c:v>
                </c:pt>
                <c:pt idx="1">
                  <c:v>W2435</c:v>
                </c:pt>
                <c:pt idx="2">
                  <c:v>W2436</c:v>
                </c:pt>
                <c:pt idx="3">
                  <c:v>W2437</c:v>
                </c:pt>
                <c:pt idx="4">
                  <c:v>W2438</c:v>
                </c:pt>
                <c:pt idx="5">
                  <c:v>W2439</c:v>
                </c:pt>
                <c:pt idx="6">
                  <c:v>W2440</c:v>
                </c:pt>
                <c:pt idx="7">
                  <c:v>W2441</c:v>
                </c:pt>
                <c:pt idx="8">
                  <c:v>W2442</c:v>
                </c:pt>
                <c:pt idx="9">
                  <c:v>W2443</c:v>
                </c:pt>
              </c:strCache>
            </c:strRef>
          </c:cat>
          <c:val>
            <c:numRef>
              <c:f>'DELIVERABLES PH2 - TOTAL'!$C$17:$L$17</c:f>
              <c:numCache>
                <c:formatCode>General</c:formatCode>
                <c:ptCount val="10"/>
                <c:pt idx="0">
                  <c:v>19</c:v>
                </c:pt>
                <c:pt idx="1">
                  <c:v>13</c:v>
                </c:pt>
                <c:pt idx="2">
                  <c:v>13</c:v>
                </c:pt>
                <c:pt idx="3">
                  <c:v>11</c:v>
                </c:pt>
                <c:pt idx="4">
                  <c:v>10</c:v>
                </c:pt>
                <c:pt idx="5">
                  <c:v>9</c:v>
                </c:pt>
                <c:pt idx="6">
                  <c:v>9</c:v>
                </c:pt>
                <c:pt idx="7">
                  <c:v>3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0AD-4882-A2B7-778AD9324888}"/>
            </c:ext>
          </c:extLst>
        </c:ser>
        <c:ser>
          <c:idx val="1"/>
          <c:order val="1"/>
          <c:tx>
            <c:strRef>
              <c:f>'DELIVERABLES PH2 - TOTAL'!$B$19</c:f>
              <c:strCache>
                <c:ptCount val="1"/>
                <c:pt idx="0">
                  <c:v>Engineering Product Specifications &amp; Engineering Drawings / CAD data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'DELIVERABLES PH2 - TOTAL'!$C$3:$L$3</c:f>
              <c:strCache>
                <c:ptCount val="10"/>
                <c:pt idx="0">
                  <c:v>W2434</c:v>
                </c:pt>
                <c:pt idx="1">
                  <c:v>W2435</c:v>
                </c:pt>
                <c:pt idx="2">
                  <c:v>W2436</c:v>
                </c:pt>
                <c:pt idx="3">
                  <c:v>W2437</c:v>
                </c:pt>
                <c:pt idx="4">
                  <c:v>W2438</c:v>
                </c:pt>
                <c:pt idx="5">
                  <c:v>W2439</c:v>
                </c:pt>
                <c:pt idx="6">
                  <c:v>W2440</c:v>
                </c:pt>
                <c:pt idx="7">
                  <c:v>W2441</c:v>
                </c:pt>
                <c:pt idx="8">
                  <c:v>W2442</c:v>
                </c:pt>
                <c:pt idx="9">
                  <c:v>W2443</c:v>
                </c:pt>
              </c:strCache>
            </c:strRef>
          </c:cat>
          <c:val>
            <c:numRef>
              <c:f>'DELIVERABLES PH2 - TOTAL'!$C$19:$L$19</c:f>
              <c:numCache>
                <c:formatCode>General</c:formatCode>
                <c:ptCount val="10"/>
                <c:pt idx="0">
                  <c:v>20</c:v>
                </c:pt>
                <c:pt idx="1">
                  <c:v>10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60AD-4882-A2B7-778AD9324888}"/>
            </c:ext>
          </c:extLst>
        </c:ser>
        <c:ser>
          <c:idx val="2"/>
          <c:order val="2"/>
          <c:tx>
            <c:strRef>
              <c:f>'DELIVERABLES PH2 - TOTAL'!$B$5</c:f>
              <c:strCache>
                <c:ptCount val="1"/>
                <c:pt idx="0">
                  <c:v>PQTSP-Product Quality Targets Study Plan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'DELIVERABLES PH2 - TOTAL'!$C$3:$L$3</c:f>
              <c:strCache>
                <c:ptCount val="10"/>
                <c:pt idx="0">
                  <c:v>W2434</c:v>
                </c:pt>
                <c:pt idx="1">
                  <c:v>W2435</c:v>
                </c:pt>
                <c:pt idx="2">
                  <c:v>W2436</c:v>
                </c:pt>
                <c:pt idx="3">
                  <c:v>W2437</c:v>
                </c:pt>
                <c:pt idx="4">
                  <c:v>W2438</c:v>
                </c:pt>
                <c:pt idx="5">
                  <c:v>W2439</c:v>
                </c:pt>
                <c:pt idx="6">
                  <c:v>W2440</c:v>
                </c:pt>
                <c:pt idx="7">
                  <c:v>W2441</c:v>
                </c:pt>
                <c:pt idx="8">
                  <c:v>W2442</c:v>
                </c:pt>
                <c:pt idx="9">
                  <c:v>W2443</c:v>
                </c:pt>
              </c:strCache>
            </c:strRef>
          </c:cat>
          <c:val>
            <c:numRef>
              <c:f>'DELIVERABLES PH2 - TOTAL'!$C$5:$L$5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60AD-4882-A2B7-778AD9324888}"/>
            </c:ext>
          </c:extLst>
        </c:ser>
        <c:ser>
          <c:idx val="3"/>
          <c:order val="3"/>
          <c:tx>
            <c:strRef>
              <c:f>'DELIVERABLES PH2 - TOTAL'!$B$6</c:f>
              <c:strCache>
                <c:ptCount val="1"/>
                <c:pt idx="0">
                  <c:v>PRTSP-Product Reliability Targets Study Plan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'DELIVERABLES PH2 - TOTAL'!$C$3:$L$3</c:f>
              <c:strCache>
                <c:ptCount val="10"/>
                <c:pt idx="0">
                  <c:v>W2434</c:v>
                </c:pt>
                <c:pt idx="1">
                  <c:v>W2435</c:v>
                </c:pt>
                <c:pt idx="2">
                  <c:v>W2436</c:v>
                </c:pt>
                <c:pt idx="3">
                  <c:v>W2437</c:v>
                </c:pt>
                <c:pt idx="4">
                  <c:v>W2438</c:v>
                </c:pt>
                <c:pt idx="5">
                  <c:v>W2439</c:v>
                </c:pt>
                <c:pt idx="6">
                  <c:v>W2440</c:v>
                </c:pt>
                <c:pt idx="7">
                  <c:v>W2441</c:v>
                </c:pt>
                <c:pt idx="8">
                  <c:v>W2442</c:v>
                </c:pt>
                <c:pt idx="9">
                  <c:v>W2443</c:v>
                </c:pt>
              </c:strCache>
            </c:strRef>
          </c:cat>
          <c:val>
            <c:numRef>
              <c:f>'DELIVERABLES PH2 - TOTAL'!$C$6:$L$6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60AD-4882-A2B7-778AD9324888}"/>
            </c:ext>
          </c:extLst>
        </c:ser>
        <c:ser>
          <c:idx val="4"/>
          <c:order val="4"/>
          <c:tx>
            <c:strRef>
              <c:f>'DELIVERABLES PH2 - TOTAL'!$B$8</c:f>
              <c:strCache>
                <c:ptCount val="1"/>
                <c:pt idx="0">
                  <c:v>CSCC-Component Supply Chain Chart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'DELIVERABLES PH2 - TOTAL'!$C$3:$L$3</c:f>
              <c:strCache>
                <c:ptCount val="10"/>
                <c:pt idx="0">
                  <c:v>W2434</c:v>
                </c:pt>
                <c:pt idx="1">
                  <c:v>W2435</c:v>
                </c:pt>
                <c:pt idx="2">
                  <c:v>W2436</c:v>
                </c:pt>
                <c:pt idx="3">
                  <c:v>W2437</c:v>
                </c:pt>
                <c:pt idx="4">
                  <c:v>W2438</c:v>
                </c:pt>
                <c:pt idx="5">
                  <c:v>W2439</c:v>
                </c:pt>
                <c:pt idx="6">
                  <c:v>W2440</c:v>
                </c:pt>
                <c:pt idx="7">
                  <c:v>W2441</c:v>
                </c:pt>
                <c:pt idx="8">
                  <c:v>W2442</c:v>
                </c:pt>
                <c:pt idx="9">
                  <c:v>W2443</c:v>
                </c:pt>
              </c:strCache>
            </c:strRef>
          </c:cat>
          <c:val>
            <c:numRef>
              <c:f>'DELIVERABLES PH2 - TOTAL'!$C$8:$L$8</c:f>
              <c:numCache>
                <c:formatCode>General</c:formatCode>
                <c:ptCount val="10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60AD-4882-A2B7-778AD9324888}"/>
            </c:ext>
          </c:extLst>
        </c:ser>
        <c:ser>
          <c:idx val="5"/>
          <c:order val="5"/>
          <c:tx>
            <c:strRef>
              <c:f>'DELIVERABLES PH2 - TOTAL'!$B$10</c:f>
              <c:strCache>
                <c:ptCount val="1"/>
                <c:pt idx="0">
                  <c:v>SCD-Supplier Contact Directory 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'DELIVERABLES PH2 - TOTAL'!$C$3:$L$3</c:f>
              <c:strCache>
                <c:ptCount val="10"/>
                <c:pt idx="0">
                  <c:v>W2434</c:v>
                </c:pt>
                <c:pt idx="1">
                  <c:v>W2435</c:v>
                </c:pt>
                <c:pt idx="2">
                  <c:v>W2436</c:v>
                </c:pt>
                <c:pt idx="3">
                  <c:v>W2437</c:v>
                </c:pt>
                <c:pt idx="4">
                  <c:v>W2438</c:v>
                </c:pt>
                <c:pt idx="5">
                  <c:v>W2439</c:v>
                </c:pt>
                <c:pt idx="6">
                  <c:v>W2440</c:v>
                </c:pt>
                <c:pt idx="7">
                  <c:v>W2441</c:v>
                </c:pt>
                <c:pt idx="8">
                  <c:v>W2442</c:v>
                </c:pt>
                <c:pt idx="9">
                  <c:v>W2443</c:v>
                </c:pt>
              </c:strCache>
            </c:strRef>
          </c:cat>
          <c:val>
            <c:numRef>
              <c:f>'DELIVERABLES PH2 - TOTAL'!$C$10:$L$10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60AD-4882-A2B7-778AD9324888}"/>
            </c:ext>
          </c:extLst>
        </c:ser>
        <c:ser>
          <c:idx val="6"/>
          <c:order val="6"/>
          <c:tx>
            <c:strRef>
              <c:f>'DELIVERABLES PH2 - TOTAL'!$B$11</c:f>
              <c:strCache>
                <c:ptCount val="1"/>
                <c:pt idx="0">
                  <c:v>SMS-Supplier Master Schedule 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'DELIVERABLES PH2 - TOTAL'!$C$3:$L$3</c:f>
              <c:strCache>
                <c:ptCount val="10"/>
                <c:pt idx="0">
                  <c:v>W2434</c:v>
                </c:pt>
                <c:pt idx="1">
                  <c:v>W2435</c:v>
                </c:pt>
                <c:pt idx="2">
                  <c:v>W2436</c:v>
                </c:pt>
                <c:pt idx="3">
                  <c:v>W2437</c:v>
                </c:pt>
                <c:pt idx="4">
                  <c:v>W2438</c:v>
                </c:pt>
                <c:pt idx="5">
                  <c:v>W2439</c:v>
                </c:pt>
                <c:pt idx="6">
                  <c:v>W2440</c:v>
                </c:pt>
                <c:pt idx="7">
                  <c:v>W2441</c:v>
                </c:pt>
                <c:pt idx="8">
                  <c:v>W2442</c:v>
                </c:pt>
                <c:pt idx="9">
                  <c:v>W2443</c:v>
                </c:pt>
              </c:strCache>
            </c:strRef>
          </c:cat>
          <c:val>
            <c:numRef>
              <c:f>'DELIVERABLES PH2 - TOTAL'!$C$11:$L$11</c:f>
              <c:numCache>
                <c:formatCode>General</c:formatCode>
                <c:ptCount val="10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0AD-4882-A2B7-778AD9324888}"/>
            </c:ext>
          </c:extLst>
        </c:ser>
        <c:ser>
          <c:idx val="7"/>
          <c:order val="7"/>
          <c:tx>
            <c:strRef>
              <c:f>'DELIVERABLES PH2 - TOTAL'!$B$12</c:f>
              <c:strCache>
                <c:ptCount val="1"/>
                <c:pt idx="0">
                  <c:v> SPPMP/SR-Supplier Production Preparation Monitoring Plan/Status Report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'DELIVERABLES PH2 - TOTAL'!$C$3:$L$3</c:f>
              <c:strCache>
                <c:ptCount val="10"/>
                <c:pt idx="0">
                  <c:v>W2434</c:v>
                </c:pt>
                <c:pt idx="1">
                  <c:v>W2435</c:v>
                </c:pt>
                <c:pt idx="2">
                  <c:v>W2436</c:v>
                </c:pt>
                <c:pt idx="3">
                  <c:v>W2437</c:v>
                </c:pt>
                <c:pt idx="4">
                  <c:v>W2438</c:v>
                </c:pt>
                <c:pt idx="5">
                  <c:v>W2439</c:v>
                </c:pt>
                <c:pt idx="6">
                  <c:v>W2440</c:v>
                </c:pt>
                <c:pt idx="7">
                  <c:v>W2441</c:v>
                </c:pt>
                <c:pt idx="8">
                  <c:v>W2442</c:v>
                </c:pt>
                <c:pt idx="9">
                  <c:v>W2443</c:v>
                </c:pt>
              </c:strCache>
            </c:strRef>
          </c:cat>
          <c:val>
            <c:numRef>
              <c:f>'DELIVERABLES PH2 - TOTAL'!$C$12:$L$12</c:f>
              <c:numCache>
                <c:formatCode>General</c:formatCode>
                <c:ptCount val="10"/>
                <c:pt idx="0">
                  <c:v>25</c:v>
                </c:pt>
                <c:pt idx="1">
                  <c:v>25</c:v>
                </c:pt>
                <c:pt idx="2">
                  <c:v>20</c:v>
                </c:pt>
                <c:pt idx="3">
                  <c:v>12</c:v>
                </c:pt>
                <c:pt idx="4">
                  <c:v>6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60AD-4882-A2B7-778AD9324888}"/>
            </c:ext>
          </c:extLst>
        </c:ser>
        <c:ser>
          <c:idx val="8"/>
          <c:order val="8"/>
          <c:tx>
            <c:strRef>
              <c:f>'DELIVERABLES PH2 - TOTAL'!$B$13</c:f>
              <c:strCache>
                <c:ptCount val="1"/>
                <c:pt idx="0">
                  <c:v>PCP-Production Capacity Plan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'DELIVERABLES PH2 - TOTAL'!$C$3:$L$3</c:f>
              <c:strCache>
                <c:ptCount val="10"/>
                <c:pt idx="0">
                  <c:v>W2434</c:v>
                </c:pt>
                <c:pt idx="1">
                  <c:v>W2435</c:v>
                </c:pt>
                <c:pt idx="2">
                  <c:v>W2436</c:v>
                </c:pt>
                <c:pt idx="3">
                  <c:v>W2437</c:v>
                </c:pt>
                <c:pt idx="4">
                  <c:v>W2438</c:v>
                </c:pt>
                <c:pt idx="5">
                  <c:v>W2439</c:v>
                </c:pt>
                <c:pt idx="6">
                  <c:v>W2440</c:v>
                </c:pt>
                <c:pt idx="7">
                  <c:v>W2441</c:v>
                </c:pt>
                <c:pt idx="8">
                  <c:v>W2442</c:v>
                </c:pt>
                <c:pt idx="9">
                  <c:v>W2443</c:v>
                </c:pt>
              </c:strCache>
            </c:strRef>
          </c:cat>
          <c:val>
            <c:numRef>
              <c:f>'DELIVERABLES PH2 - TOTAL'!$C$13:$L$13</c:f>
              <c:numCache>
                <c:formatCode>General</c:formatCode>
                <c:ptCount val="10"/>
                <c:pt idx="0">
                  <c:v>26</c:v>
                </c:pt>
                <c:pt idx="1">
                  <c:v>19</c:v>
                </c:pt>
                <c:pt idx="2">
                  <c:v>15</c:v>
                </c:pt>
                <c:pt idx="3">
                  <c:v>12</c:v>
                </c:pt>
                <c:pt idx="4">
                  <c:v>6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60AD-4882-A2B7-778AD9324888}"/>
            </c:ext>
          </c:extLst>
        </c:ser>
        <c:ser>
          <c:idx val="9"/>
          <c:order val="9"/>
          <c:tx>
            <c:strRef>
              <c:f>'DELIVERABLES PH2 - TOTAL'!$B$14</c:f>
              <c:strCache>
                <c:ptCount val="1"/>
                <c:pt idx="0">
                  <c:v>SMS Main Dates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'DELIVERABLES PH2 - TOTAL'!$C$3:$L$3</c:f>
              <c:strCache>
                <c:ptCount val="10"/>
                <c:pt idx="0">
                  <c:v>W2434</c:v>
                </c:pt>
                <c:pt idx="1">
                  <c:v>W2435</c:v>
                </c:pt>
                <c:pt idx="2">
                  <c:v>W2436</c:v>
                </c:pt>
                <c:pt idx="3">
                  <c:v>W2437</c:v>
                </c:pt>
                <c:pt idx="4">
                  <c:v>W2438</c:v>
                </c:pt>
                <c:pt idx="5">
                  <c:v>W2439</c:v>
                </c:pt>
                <c:pt idx="6">
                  <c:v>W2440</c:v>
                </c:pt>
                <c:pt idx="7">
                  <c:v>W2441</c:v>
                </c:pt>
                <c:pt idx="8">
                  <c:v>W2442</c:v>
                </c:pt>
                <c:pt idx="9">
                  <c:v>W2443</c:v>
                </c:pt>
              </c:strCache>
            </c:strRef>
          </c:cat>
          <c:val>
            <c:numRef>
              <c:f>'DELIVERABLES PH2 - TOTAL'!$C$14:$L$14</c:f>
              <c:numCache>
                <c:formatCode>General</c:formatCode>
                <c:ptCount val="10"/>
                <c:pt idx="0">
                  <c:v>2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60AD-4882-A2B7-778AD9324888}"/>
            </c:ext>
          </c:extLst>
        </c:ser>
        <c:ser>
          <c:idx val="10"/>
          <c:order val="10"/>
          <c:tx>
            <c:strRef>
              <c:f>'DELIVERABLES PH2 - TOTAL'!$B$16</c:f>
              <c:strCache>
                <c:ptCount val="1"/>
                <c:pt idx="0">
                  <c:v>Design FMEA or DRBFM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'DELIVERABLES PH2 - TOTAL'!$C$3:$L$3</c:f>
              <c:strCache>
                <c:ptCount val="10"/>
                <c:pt idx="0">
                  <c:v>W2434</c:v>
                </c:pt>
                <c:pt idx="1">
                  <c:v>W2435</c:v>
                </c:pt>
                <c:pt idx="2">
                  <c:v>W2436</c:v>
                </c:pt>
                <c:pt idx="3">
                  <c:v>W2437</c:v>
                </c:pt>
                <c:pt idx="4">
                  <c:v>W2438</c:v>
                </c:pt>
                <c:pt idx="5">
                  <c:v>W2439</c:v>
                </c:pt>
                <c:pt idx="6">
                  <c:v>W2440</c:v>
                </c:pt>
                <c:pt idx="7">
                  <c:v>W2441</c:v>
                </c:pt>
                <c:pt idx="8">
                  <c:v>W2442</c:v>
                </c:pt>
                <c:pt idx="9">
                  <c:v>W2443</c:v>
                </c:pt>
              </c:strCache>
            </c:strRef>
          </c:cat>
          <c:val>
            <c:numRef>
              <c:f>'DELIVERABLES PH2 - TOTAL'!$C$16:$L$16</c:f>
              <c:numCache>
                <c:formatCode>General</c:formatCode>
                <c:ptCount val="10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60AD-4882-A2B7-778AD9324888}"/>
            </c:ext>
          </c:extLst>
        </c:ser>
        <c:ser>
          <c:idx val="11"/>
          <c:order val="11"/>
          <c:tx>
            <c:strRef>
              <c:f>'DELIVERABLES PH2 - TOTAL'!$B$18</c:f>
              <c:strCache>
                <c:ptCount val="1"/>
                <c:pt idx="0">
                  <c:v>SFC-Supplier Feasibility Commitment 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'DELIVERABLES PH2 - TOTAL'!$C$3:$L$3</c:f>
              <c:strCache>
                <c:ptCount val="10"/>
                <c:pt idx="0">
                  <c:v>W2434</c:v>
                </c:pt>
                <c:pt idx="1">
                  <c:v>W2435</c:v>
                </c:pt>
                <c:pt idx="2">
                  <c:v>W2436</c:v>
                </c:pt>
                <c:pt idx="3">
                  <c:v>W2437</c:v>
                </c:pt>
                <c:pt idx="4">
                  <c:v>W2438</c:v>
                </c:pt>
                <c:pt idx="5">
                  <c:v>W2439</c:v>
                </c:pt>
                <c:pt idx="6">
                  <c:v>W2440</c:v>
                </c:pt>
                <c:pt idx="7">
                  <c:v>W2441</c:v>
                </c:pt>
                <c:pt idx="8">
                  <c:v>W2442</c:v>
                </c:pt>
                <c:pt idx="9">
                  <c:v>W2443</c:v>
                </c:pt>
              </c:strCache>
            </c:strRef>
          </c:cat>
          <c:val>
            <c:numRef>
              <c:f>'DELIVERABLES PH2 - TOTAL'!$C$18:$L$18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60AD-4882-A2B7-778AD9324888}"/>
            </c:ext>
          </c:extLst>
        </c:ser>
        <c:ser>
          <c:idx val="12"/>
          <c:order val="12"/>
          <c:tx>
            <c:strRef>
              <c:f>'DELIVERABLES PH2 - TOTAL'!$B$20</c:f>
              <c:strCache>
                <c:ptCount val="1"/>
                <c:pt idx="0">
                  <c:v>SR-Supplier Recommendations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'DELIVERABLES PH2 - TOTAL'!$C$3:$L$3</c:f>
              <c:strCache>
                <c:ptCount val="10"/>
                <c:pt idx="0">
                  <c:v>W2434</c:v>
                </c:pt>
                <c:pt idx="1">
                  <c:v>W2435</c:v>
                </c:pt>
                <c:pt idx="2">
                  <c:v>W2436</c:v>
                </c:pt>
                <c:pt idx="3">
                  <c:v>W2437</c:v>
                </c:pt>
                <c:pt idx="4">
                  <c:v>W2438</c:v>
                </c:pt>
                <c:pt idx="5">
                  <c:v>W2439</c:v>
                </c:pt>
                <c:pt idx="6">
                  <c:v>W2440</c:v>
                </c:pt>
                <c:pt idx="7">
                  <c:v>W2441</c:v>
                </c:pt>
                <c:pt idx="8">
                  <c:v>W2442</c:v>
                </c:pt>
                <c:pt idx="9">
                  <c:v>W2443</c:v>
                </c:pt>
              </c:strCache>
            </c:strRef>
          </c:cat>
          <c:val>
            <c:numRef>
              <c:f>'DELIVERABLES PH2 - TOTAL'!$C$20:$L$20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60AD-4882-A2B7-778AD9324888}"/>
            </c:ext>
          </c:extLst>
        </c:ser>
        <c:ser>
          <c:idx val="13"/>
          <c:order val="13"/>
          <c:tx>
            <c:strRef>
              <c:f>'DELIVERABLES PH2 - TOTAL'!$B$22</c:f>
              <c:strCache>
                <c:ptCount val="1"/>
                <c:pt idx="0">
                  <c:v>Process FMEA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'DELIVERABLES PH2 - TOTAL'!$C$3:$L$3</c:f>
              <c:strCache>
                <c:ptCount val="10"/>
                <c:pt idx="0">
                  <c:v>W2434</c:v>
                </c:pt>
                <c:pt idx="1">
                  <c:v>W2435</c:v>
                </c:pt>
                <c:pt idx="2">
                  <c:v>W2436</c:v>
                </c:pt>
                <c:pt idx="3">
                  <c:v>W2437</c:v>
                </c:pt>
                <c:pt idx="4">
                  <c:v>W2438</c:v>
                </c:pt>
                <c:pt idx="5">
                  <c:v>W2439</c:v>
                </c:pt>
                <c:pt idx="6">
                  <c:v>W2440</c:v>
                </c:pt>
                <c:pt idx="7">
                  <c:v>W2441</c:v>
                </c:pt>
                <c:pt idx="8">
                  <c:v>W2442</c:v>
                </c:pt>
                <c:pt idx="9">
                  <c:v>W2443</c:v>
                </c:pt>
              </c:strCache>
            </c:strRef>
          </c:cat>
          <c:val>
            <c:numRef>
              <c:f>'DELIVERABLES PH2 - TOTAL'!$C$22:$L$22</c:f>
              <c:numCache>
                <c:formatCode>General</c:formatCode>
                <c:ptCount val="10"/>
                <c:pt idx="0">
                  <c:v>11</c:v>
                </c:pt>
                <c:pt idx="1">
                  <c:v>6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60AD-4882-A2B7-778AD9324888}"/>
            </c:ext>
          </c:extLst>
        </c:ser>
        <c:ser>
          <c:idx val="14"/>
          <c:order val="14"/>
          <c:tx>
            <c:strRef>
              <c:f>'DELIVERABLES PH2 - TOTAL'!$B$23</c:f>
              <c:strCache>
                <c:ptCount val="1"/>
                <c:pt idx="0">
                  <c:v>CP - Control Plan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'DELIVERABLES PH2 - TOTAL'!$C$3:$L$3</c:f>
              <c:strCache>
                <c:ptCount val="10"/>
                <c:pt idx="0">
                  <c:v>W2434</c:v>
                </c:pt>
                <c:pt idx="1">
                  <c:v>W2435</c:v>
                </c:pt>
                <c:pt idx="2">
                  <c:v>W2436</c:v>
                </c:pt>
                <c:pt idx="3">
                  <c:v>W2437</c:v>
                </c:pt>
                <c:pt idx="4">
                  <c:v>W2438</c:v>
                </c:pt>
                <c:pt idx="5">
                  <c:v>W2439</c:v>
                </c:pt>
                <c:pt idx="6">
                  <c:v>W2440</c:v>
                </c:pt>
                <c:pt idx="7">
                  <c:v>W2441</c:v>
                </c:pt>
                <c:pt idx="8">
                  <c:v>W2442</c:v>
                </c:pt>
                <c:pt idx="9">
                  <c:v>W2443</c:v>
                </c:pt>
              </c:strCache>
            </c:strRef>
          </c:cat>
          <c:val>
            <c:numRef>
              <c:f>'DELIVERABLES PH2 - TOTAL'!$C$23:$L$23</c:f>
              <c:numCache>
                <c:formatCode>General</c:formatCode>
                <c:ptCount val="10"/>
                <c:pt idx="0">
                  <c:v>11</c:v>
                </c:pt>
                <c:pt idx="1">
                  <c:v>6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60AD-4882-A2B7-778AD9324888}"/>
            </c:ext>
          </c:extLst>
        </c:ser>
        <c:ser>
          <c:idx val="15"/>
          <c:order val="15"/>
          <c:tx>
            <c:strRef>
              <c:f>'DELIVERABLES PH2 - TOTAL'!$B$24</c:f>
              <c:strCache>
                <c:ptCount val="1"/>
                <c:pt idx="0">
                  <c:v>PFC - Process Flow Chart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'DELIVERABLES PH2 - TOTAL'!$C$3:$L$3</c:f>
              <c:strCache>
                <c:ptCount val="10"/>
                <c:pt idx="0">
                  <c:v>W2434</c:v>
                </c:pt>
                <c:pt idx="1">
                  <c:v>W2435</c:v>
                </c:pt>
                <c:pt idx="2">
                  <c:v>W2436</c:v>
                </c:pt>
                <c:pt idx="3">
                  <c:v>W2437</c:v>
                </c:pt>
                <c:pt idx="4">
                  <c:v>W2438</c:v>
                </c:pt>
                <c:pt idx="5">
                  <c:v>W2439</c:v>
                </c:pt>
                <c:pt idx="6">
                  <c:v>W2440</c:v>
                </c:pt>
                <c:pt idx="7">
                  <c:v>W2441</c:v>
                </c:pt>
                <c:pt idx="8">
                  <c:v>W2442</c:v>
                </c:pt>
                <c:pt idx="9">
                  <c:v>W2443</c:v>
                </c:pt>
              </c:strCache>
            </c:strRef>
          </c:cat>
          <c:val>
            <c:numRef>
              <c:f>'DELIVERABLES PH2 - TOTAL'!$C$24:$L$24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60AD-4882-A2B7-778AD9324888}"/>
            </c:ext>
          </c:extLst>
        </c:ser>
        <c:ser>
          <c:idx val="16"/>
          <c:order val="16"/>
          <c:tx>
            <c:strRef>
              <c:f>'DELIVERABLES PH2 - TOTAL'!$B$25</c:f>
              <c:strCache>
                <c:ptCount val="1"/>
                <c:pt idx="0">
                  <c:v>GSS-Gauge Specification Sheet </c:v>
                </c:pt>
              </c:strCache>
            </c:strRef>
          </c:tx>
          <c:spPr>
            <a:solidFill>
              <a:srgbClr val="BC7CEC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'DELIVERABLES PH2 - TOTAL'!$C$3:$L$3</c:f>
              <c:strCache>
                <c:ptCount val="10"/>
                <c:pt idx="0">
                  <c:v>W2434</c:v>
                </c:pt>
                <c:pt idx="1">
                  <c:v>W2435</c:v>
                </c:pt>
                <c:pt idx="2">
                  <c:v>W2436</c:v>
                </c:pt>
                <c:pt idx="3">
                  <c:v>W2437</c:v>
                </c:pt>
                <c:pt idx="4">
                  <c:v>W2438</c:v>
                </c:pt>
                <c:pt idx="5">
                  <c:v>W2439</c:v>
                </c:pt>
                <c:pt idx="6">
                  <c:v>W2440</c:v>
                </c:pt>
                <c:pt idx="7">
                  <c:v>W2441</c:v>
                </c:pt>
                <c:pt idx="8">
                  <c:v>W2442</c:v>
                </c:pt>
                <c:pt idx="9">
                  <c:v>W2443</c:v>
                </c:pt>
              </c:strCache>
            </c:strRef>
          </c:cat>
          <c:val>
            <c:numRef>
              <c:f>'DELIVERABLES PH2 - TOTAL'!$C$25:$L$25</c:f>
              <c:numCache>
                <c:formatCode>General</c:formatCode>
                <c:ptCount val="10"/>
                <c:pt idx="0">
                  <c:v>21</c:v>
                </c:pt>
                <c:pt idx="1">
                  <c:v>16</c:v>
                </c:pt>
                <c:pt idx="2">
                  <c:v>12</c:v>
                </c:pt>
                <c:pt idx="3">
                  <c:v>12</c:v>
                </c:pt>
                <c:pt idx="4">
                  <c:v>12</c:v>
                </c:pt>
                <c:pt idx="5">
                  <c:v>10</c:v>
                </c:pt>
                <c:pt idx="6">
                  <c:v>10</c:v>
                </c:pt>
                <c:pt idx="7">
                  <c:v>4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60AD-4882-A2B7-778AD9324888}"/>
            </c:ext>
          </c:extLst>
        </c:ser>
        <c:ser>
          <c:idx val="17"/>
          <c:order val="17"/>
          <c:tx>
            <c:strRef>
              <c:f>'DELIVERABLES PH2 - TOTAL'!$B$26</c:f>
              <c:strCache>
                <c:ptCount val="1"/>
                <c:pt idx="0">
                  <c:v>PCSP-Process Capability Study Plan</c:v>
                </c:pt>
              </c:strCache>
            </c:strRef>
          </c:tx>
          <c:spPr>
            <a:solidFill>
              <a:srgbClr val="28F877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'DELIVERABLES PH2 - TOTAL'!$C$3:$L$3</c:f>
              <c:strCache>
                <c:ptCount val="10"/>
                <c:pt idx="0">
                  <c:v>W2434</c:v>
                </c:pt>
                <c:pt idx="1">
                  <c:v>W2435</c:v>
                </c:pt>
                <c:pt idx="2">
                  <c:v>W2436</c:v>
                </c:pt>
                <c:pt idx="3">
                  <c:v>W2437</c:v>
                </c:pt>
                <c:pt idx="4">
                  <c:v>W2438</c:v>
                </c:pt>
                <c:pt idx="5">
                  <c:v>W2439</c:v>
                </c:pt>
                <c:pt idx="6">
                  <c:v>W2440</c:v>
                </c:pt>
                <c:pt idx="7">
                  <c:v>W2441</c:v>
                </c:pt>
                <c:pt idx="8">
                  <c:v>W2442</c:v>
                </c:pt>
                <c:pt idx="9">
                  <c:v>W2443</c:v>
                </c:pt>
              </c:strCache>
            </c:strRef>
          </c:cat>
          <c:val>
            <c:numRef>
              <c:f>'DELIVERABLES PH2 - TOTAL'!$C$26:$L$26</c:f>
              <c:numCache>
                <c:formatCode>General</c:formatCode>
                <c:ptCount val="10"/>
                <c:pt idx="0">
                  <c:v>22</c:v>
                </c:pt>
                <c:pt idx="1">
                  <c:v>17</c:v>
                </c:pt>
                <c:pt idx="2">
                  <c:v>13</c:v>
                </c:pt>
                <c:pt idx="3">
                  <c:v>12</c:v>
                </c:pt>
                <c:pt idx="4">
                  <c:v>12</c:v>
                </c:pt>
                <c:pt idx="5">
                  <c:v>10</c:v>
                </c:pt>
                <c:pt idx="6">
                  <c:v>10</c:v>
                </c:pt>
                <c:pt idx="7">
                  <c:v>4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60AD-4882-A2B7-778AD9324888}"/>
            </c:ext>
          </c:extLst>
        </c:ser>
        <c:ser>
          <c:idx val="18"/>
          <c:order val="18"/>
          <c:tx>
            <c:strRef>
              <c:f>'DELIVERABLES PH2 - TOTAL'!$B$28</c:f>
              <c:strCache>
                <c:ptCount val="1"/>
                <c:pt idx="0">
                  <c:v>STPR-Supplier Test Plan and Report 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'DELIVERABLES PH2 - TOTAL'!$C$3:$L$3</c:f>
              <c:strCache>
                <c:ptCount val="10"/>
                <c:pt idx="0">
                  <c:v>W2434</c:v>
                </c:pt>
                <c:pt idx="1">
                  <c:v>W2435</c:v>
                </c:pt>
                <c:pt idx="2">
                  <c:v>W2436</c:v>
                </c:pt>
                <c:pt idx="3">
                  <c:v>W2437</c:v>
                </c:pt>
                <c:pt idx="4">
                  <c:v>W2438</c:v>
                </c:pt>
                <c:pt idx="5">
                  <c:v>W2439</c:v>
                </c:pt>
                <c:pt idx="6">
                  <c:v>W2440</c:v>
                </c:pt>
                <c:pt idx="7">
                  <c:v>W2441</c:v>
                </c:pt>
                <c:pt idx="8">
                  <c:v>W2442</c:v>
                </c:pt>
                <c:pt idx="9">
                  <c:v>W2443</c:v>
                </c:pt>
              </c:strCache>
            </c:strRef>
          </c:cat>
          <c:val>
            <c:numRef>
              <c:f>'DELIVERABLES PH2 - TOTAL'!$C$28:$L$28</c:f>
              <c:numCache>
                <c:formatCode>General</c:formatCode>
                <c:ptCount val="10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60AD-4882-A2B7-778AD93248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45208456"/>
        <c:axId val="645210616"/>
      </c:barChart>
      <c:catAx>
        <c:axId val="645208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645210616"/>
        <c:crosses val="autoZero"/>
        <c:auto val="1"/>
        <c:lblAlgn val="ctr"/>
        <c:lblOffset val="100"/>
        <c:noMultiLvlLbl val="0"/>
      </c:catAx>
      <c:valAx>
        <c:axId val="645210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6452084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428624</xdr:colOff>
      <xdr:row>2</xdr:row>
      <xdr:rowOff>338136</xdr:rowOff>
    </xdr:from>
    <xdr:to>
      <xdr:col>30</xdr:col>
      <xdr:colOff>123825</xdr:colOff>
      <xdr:row>27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CC57B13-85CF-7361-7693-AE1DF9B4F76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0</xdr:row>
      <xdr:rowOff>76200</xdr:rowOff>
    </xdr:from>
    <xdr:to>
      <xdr:col>3</xdr:col>
      <xdr:colOff>323850</xdr:colOff>
      <xdr:row>9</xdr:row>
      <xdr:rowOff>95250</xdr:rowOff>
    </xdr:to>
    <xdr:pic>
      <xdr:nvPicPr>
        <xdr:cNvPr id="3" name="Imagen 2" descr="What are the 56 ColorIndex colors in Excel - ExcelSuperSite">
          <a:extLst>
            <a:ext uri="{FF2B5EF4-FFF2-40B4-BE49-F238E27FC236}">
              <a16:creationId xmlns:a16="http://schemas.microsoft.com/office/drawing/2014/main" id="{FADE90D7-0D12-DA34-D585-3E539694BA2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0" y="76200"/>
          <a:ext cx="2514600" cy="1733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grouperenault.sharepoint.com/sites/AILNCBA/Shared%20Documents/General/PROYECTO%20X1312/H1312%20-%20AILN%20IMPORT%20PLATFORM/Supply%20As%20a%20Service%20-%20Consolidado%20v2.xlsx" TargetMode="External"/><Relationship Id="rId1" Type="http://schemas.openxmlformats.org/officeDocument/2006/relationships/externalLinkPath" Target="https://grouperenault.sharepoint.com/sites/AILNCBA/Shared%20Documents/General/PROYECTO%20X1312/H1312%20-%20AILN%20IMPORT%20PLATFORM/Supply%20As%20a%20Service%20-%20Consolidado%20v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LPI"/>
      <sheetName val="LPI Ariel"/>
      <sheetName val="Eliminadas"/>
      <sheetName val="Hoja2"/>
    </sheetNames>
    <sheetDataSet>
      <sheetData sheetId="0" refreshError="1"/>
      <sheetData sheetId="1">
        <row r="3">
          <cell r="B3" t="str">
            <v>762587712R</v>
          </cell>
          <cell r="C3" t="str">
            <v>EQUERRE</v>
          </cell>
          <cell r="D3" t="str">
            <v>METALURGICA PASCHOAL LTDA.</v>
          </cell>
          <cell r="E3">
            <v>0.69799999999999995</v>
          </cell>
          <cell r="F3">
            <v>0.96119366828131236</v>
          </cell>
          <cell r="G3" t="str">
            <v>OK</v>
          </cell>
        </row>
        <row r="4">
          <cell r="B4" t="str">
            <v>743540593R</v>
          </cell>
          <cell r="C4" t="str">
            <v>RENFORT FREIN STATIONNEMENT ASS</v>
          </cell>
          <cell r="D4" t="str">
            <v>POLISTAMPO INDUSTRIA METALUR Brasil</v>
          </cell>
          <cell r="E4">
            <v>2.0891608391608392</v>
          </cell>
          <cell r="F4">
            <v>2.8593907063618191</v>
          </cell>
          <cell r="G4" t="str">
            <v>OK</v>
          </cell>
        </row>
        <row r="5">
          <cell r="B5" t="str">
            <v>751298222R</v>
          </cell>
          <cell r="C5" t="str">
            <v>RENFORT COUDE LONGERON G</v>
          </cell>
          <cell r="D5" t="str">
            <v>TOWER</v>
          </cell>
          <cell r="E5">
            <v>1.7972027972027971</v>
          </cell>
          <cell r="F5">
            <v>2.4799764674331968</v>
          </cell>
          <cell r="G5" t="str">
            <v>OK</v>
          </cell>
        </row>
        <row r="6">
          <cell r="B6" t="str">
            <v>752122225R</v>
          </cell>
          <cell r="C6" t="str">
            <v>TRAVERSE EXTREME AV</v>
          </cell>
          <cell r="D6" t="str">
            <v>TOWER</v>
          </cell>
          <cell r="E6">
            <v>0.97</v>
          </cell>
          <cell r="F6">
            <v>2.2267332963591766</v>
          </cell>
          <cell r="G6" t="str">
            <v>OK</v>
          </cell>
        </row>
        <row r="7">
          <cell r="B7" t="str">
            <v>751D10202R</v>
          </cell>
          <cell r="C7" t="str">
            <v>SUPPORT SUR CAISSE SUSPENSION GMP D ASS</v>
          </cell>
          <cell r="D7" t="str">
            <v>GMD METAL TANGER</v>
          </cell>
          <cell r="E7">
            <v>2.37</v>
          </cell>
          <cell r="F7">
            <v>3.321441645979049</v>
          </cell>
          <cell r="G7" t="str">
            <v>OK</v>
          </cell>
        </row>
        <row r="8">
          <cell r="B8" t="str">
            <v>510708728R</v>
          </cell>
          <cell r="C8" t="str">
            <v>SUPPORT FIX RESERVOIR CARBURANT ASS</v>
          </cell>
          <cell r="D8" t="str">
            <v>GMD Tanger</v>
          </cell>
          <cell r="E8">
            <v>1.0609999999999999</v>
          </cell>
          <cell r="F8">
            <v>1.4246088570709734</v>
          </cell>
          <cell r="G8" t="str">
            <v>OK</v>
          </cell>
        </row>
        <row r="9">
          <cell r="B9" t="str">
            <v>745610856R</v>
          </cell>
          <cell r="C9" t="str">
            <v>SUPPORT AR ECHAPPEMENT ASS</v>
          </cell>
          <cell r="D9" t="str">
            <v>GMD Tanger</v>
          </cell>
          <cell r="E9">
            <v>0.52400000000000002</v>
          </cell>
          <cell r="F9">
            <v>0.72445339814690424</v>
          </cell>
          <cell r="G9" t="str">
            <v>OK</v>
          </cell>
        </row>
        <row r="10">
          <cell r="B10" t="str">
            <v>745988009R</v>
          </cell>
          <cell r="C10" t="str">
            <v>RENFORT APPUI CRIC AR</v>
          </cell>
          <cell r="D10" t="str">
            <v>GMD Tanger</v>
          </cell>
          <cell r="E10">
            <v>0.193</v>
          </cell>
          <cell r="F10">
            <v>0.33701622909297041</v>
          </cell>
          <cell r="G10" t="str">
            <v>OK</v>
          </cell>
        </row>
        <row r="11">
          <cell r="B11" t="str">
            <v>745982102R</v>
          </cell>
          <cell r="C11" t="str">
            <v>RENFORT APPUI CRIC AR</v>
          </cell>
          <cell r="D11" t="str">
            <v>GMD Tanger</v>
          </cell>
          <cell r="E11">
            <v>0.16500000000000001</v>
          </cell>
          <cell r="F11">
            <v>0.23293040047578742</v>
          </cell>
          <cell r="G11" t="str">
            <v>OK</v>
          </cell>
        </row>
        <row r="12">
          <cell r="B12" t="str">
            <v>205661178R</v>
          </cell>
          <cell r="C12" t="str">
            <v>SUPPORT FIX ECRAN THERMIQUE CAISSE ASS</v>
          </cell>
          <cell r="D12" t="str">
            <v>GMD Tanger</v>
          </cell>
          <cell r="E12">
            <v>0.27200000000000002</v>
          </cell>
          <cell r="F12">
            <v>0.35770256410430773</v>
          </cell>
          <cell r="G12" t="str">
            <v>OK</v>
          </cell>
        </row>
        <row r="13">
          <cell r="B13" t="str">
            <v>754F50163R</v>
          </cell>
          <cell r="C13" t="str">
            <v>SUPPORT ACCROCHAGE G TRANSPORT SBS</v>
          </cell>
          <cell r="D13" t="str">
            <v>GMD Tanger</v>
          </cell>
          <cell r="E13">
            <v>0.24399999999999999</v>
          </cell>
          <cell r="F13">
            <v>0.46855517606384339</v>
          </cell>
          <cell r="G13" t="str">
            <v>OK</v>
          </cell>
        </row>
        <row r="14">
          <cell r="B14" t="str">
            <v>754F48126R</v>
          </cell>
          <cell r="C14" t="str">
            <v>SUPPORT ACCROCHAGE D TRANSPORT SBS</v>
          </cell>
          <cell r="D14" t="str">
            <v>GMD Tanger</v>
          </cell>
          <cell r="E14">
            <v>0.24399999999999999</v>
          </cell>
          <cell r="F14">
            <v>0.46855517606384339</v>
          </cell>
          <cell r="G14" t="str">
            <v>OK</v>
          </cell>
        </row>
        <row r="15">
          <cell r="B15" t="str">
            <v>572120899R</v>
          </cell>
          <cell r="C15" t="str">
            <v>SUPPORT TREUIL ROUE SECOURS</v>
          </cell>
          <cell r="D15" t="str">
            <v>NISSAN MEXICANA SA DE CV</v>
          </cell>
          <cell r="E15">
            <v>1.0529999999999999</v>
          </cell>
          <cell r="F15">
            <v>1.411104227271972</v>
          </cell>
          <cell r="G15" t="str">
            <v>OK</v>
          </cell>
        </row>
        <row r="16">
          <cell r="B16" t="str">
            <v>935A11512R</v>
          </cell>
          <cell r="C16" t="str">
            <v>RENFORT ARTICULATION RIDELLE</v>
          </cell>
          <cell r="D16" t="str">
            <v>NISSAN MEXICANA SA DE CV</v>
          </cell>
          <cell r="E16">
            <v>0.71399999999999997</v>
          </cell>
          <cell r="F16">
            <v>0.91800125252266218</v>
          </cell>
          <cell r="G16" t="str">
            <v>OK</v>
          </cell>
        </row>
        <row r="17">
          <cell r="B17" t="str">
            <v>935A18602R</v>
          </cell>
          <cell r="C17" t="str">
            <v>RENFORT ARTICULATION RIDELLE</v>
          </cell>
          <cell r="D17" t="str">
            <v>NISSAN MEXICANA SA DE CV</v>
          </cell>
          <cell r="E17">
            <v>0.65700000000000003</v>
          </cell>
          <cell r="F17">
            <v>0.84631350451567355</v>
          </cell>
          <cell r="G17" t="str">
            <v>OK</v>
          </cell>
        </row>
        <row r="18">
          <cell r="B18" t="str">
            <v>755505517R</v>
          </cell>
          <cell r="C18" t="str">
            <v>RENFORT 1 INT D TRAIN AR ASS 1</v>
          </cell>
          <cell r="D18" t="str">
            <v>COSKUNOZ RO</v>
          </cell>
          <cell r="E18">
            <v>3.4769999999999999</v>
          </cell>
          <cell r="F18">
            <v>4.7515758763147495</v>
          </cell>
          <cell r="G18" t="str">
            <v>OK</v>
          </cell>
        </row>
        <row r="19">
          <cell r="B19" t="str">
            <v>755510915R</v>
          </cell>
          <cell r="C19" t="str">
            <v xml:space="preserve">BOITIER FIX G TRAIN AR ASS </v>
          </cell>
          <cell r="D19" t="str">
            <v>COSKUNOZ MA SRL ROMANIA</v>
          </cell>
          <cell r="E19">
            <v>3.4569999999999999</v>
          </cell>
          <cell r="F19">
            <v>4.7256259799352272</v>
          </cell>
          <cell r="G19" t="str">
            <v>OK</v>
          </cell>
        </row>
        <row r="20">
          <cell r="B20" t="str">
            <v>755M75231R</v>
          </cell>
          <cell r="C20" t="str">
            <v>EQUERRE INT RFR G TRAIN AR</v>
          </cell>
          <cell r="D20" t="str">
            <v>COSKUNOZ RO</v>
          </cell>
          <cell r="E20">
            <v>0.97</v>
          </cell>
          <cell r="F20">
            <v>1.2936034525324607</v>
          </cell>
          <cell r="G20" t="str">
            <v>OK</v>
          </cell>
        </row>
        <row r="21">
          <cell r="B21" t="str">
            <v>755M60780R</v>
          </cell>
          <cell r="C21" t="str">
            <v>EQUERRE INT RFR D TRAIN AR</v>
          </cell>
          <cell r="D21" t="str">
            <v>COSKUNOZ RO</v>
          </cell>
          <cell r="E21">
            <v>0.97</v>
          </cell>
          <cell r="F21">
            <v>1.3077586874182172</v>
          </cell>
          <cell r="G21" t="str">
            <v>OK</v>
          </cell>
        </row>
        <row r="22">
          <cell r="B22" t="str">
            <v>751295929R</v>
          </cell>
          <cell r="C22" t="str">
            <v>RENFORT LONGERON AV G PARTIE AR</v>
          </cell>
          <cell r="D22" t="str">
            <v>SC SILDVB COM AS</v>
          </cell>
          <cell r="E22">
            <v>0.97</v>
          </cell>
          <cell r="F22">
            <v>1.5708225726362508</v>
          </cell>
          <cell r="G22" t="str">
            <v>OK</v>
          </cell>
        </row>
        <row r="23">
          <cell r="B23" t="str">
            <v>174276742R</v>
          </cell>
          <cell r="C23" t="str">
            <v>SUPPORT FIX D RESERVOIR CARBURANT ASS</v>
          </cell>
          <cell r="D23" t="str">
            <v>OSKUNOZ METAL FORM MAK END</v>
          </cell>
          <cell r="E23">
            <v>0.84499999999999997</v>
          </cell>
          <cell r="F23">
            <v>1.3216092323528914</v>
          </cell>
          <cell r="G23" t="str">
            <v>OK</v>
          </cell>
        </row>
        <row r="24">
          <cell r="B24" t="str">
            <v>174275359R</v>
          </cell>
          <cell r="C24" t="str">
            <v>SUPPORT FIX G RESERVOIR CARBURANT ASS</v>
          </cell>
          <cell r="D24" t="str">
            <v>OSKUNOZ METAL FORM MAK END</v>
          </cell>
          <cell r="E24">
            <v>0.84099999999999997</v>
          </cell>
          <cell r="F24">
            <v>1.3163484826081038</v>
          </cell>
          <cell r="G24" t="str">
            <v>OK</v>
          </cell>
        </row>
        <row r="25">
          <cell r="B25" t="str">
            <v>755511736R</v>
          </cell>
          <cell r="C25" t="str">
            <v>BOITIER FIX G TRAIN AR</v>
          </cell>
          <cell r="D25" t="str">
            <v>COSKUNOZ RO</v>
          </cell>
          <cell r="E25">
            <v>0.71</v>
          </cell>
          <cell r="F25">
            <v>1.1103736532420874</v>
          </cell>
          <cell r="G25" t="str">
            <v>OK</v>
          </cell>
        </row>
        <row r="26">
          <cell r="B26" t="str">
            <v>743460545R</v>
          </cell>
          <cell r="C26" t="str">
            <v>RENFORT TUNNEL PARTIE AR</v>
          </cell>
          <cell r="D26" t="str">
            <v>SILDVB</v>
          </cell>
          <cell r="E26">
            <v>0.67</v>
          </cell>
          <cell r="F26">
            <v>1.0132919865599248</v>
          </cell>
          <cell r="G26" t="str">
            <v>OK</v>
          </cell>
        </row>
        <row r="27">
          <cell r="B27" t="str">
            <v>753A41728R</v>
          </cell>
          <cell r="C27" t="str">
            <v>RENFORT LONGERON CTL SOUS PLANCHER</v>
          </cell>
          <cell r="D27" t="str">
            <v>MUSA PITESTI ROMANIA</v>
          </cell>
          <cell r="E27">
            <v>0.66</v>
          </cell>
          <cell r="F27">
            <v>1.0251139482242115</v>
          </cell>
          <cell r="G27" t="str">
            <v>OK</v>
          </cell>
        </row>
        <row r="28">
          <cell r="B28" t="str">
            <v>755506467R</v>
          </cell>
          <cell r="C28" t="str">
            <v>BOITIER FIX D TRAIN AR</v>
          </cell>
          <cell r="D28" t="str">
            <v>COSKUNOZ RO</v>
          </cell>
          <cell r="E28">
            <v>0.63</v>
          </cell>
          <cell r="F28">
            <v>1.0051193832376939</v>
          </cell>
          <cell r="G28" t="str">
            <v>OK</v>
          </cell>
        </row>
        <row r="29">
          <cell r="B29" t="str">
            <v>756282552R</v>
          </cell>
          <cell r="C29" t="str">
            <v>RENFORT FIX AR RESERVOIR CRBT ASS</v>
          </cell>
          <cell r="D29" t="str">
            <v>MUSA PITESTI ROMANIA</v>
          </cell>
          <cell r="E29">
            <v>0.62</v>
          </cell>
          <cell r="F29">
            <v>0.83675411757428364</v>
          </cell>
          <cell r="G29" t="str">
            <v>OK</v>
          </cell>
        </row>
        <row r="30">
          <cell r="B30" t="str">
            <v>339137670R</v>
          </cell>
          <cell r="C30" t="str">
            <v>RENFORT G FIX PALIER RELAIS TRANSMISSION ASS</v>
          </cell>
          <cell r="D30" t="str">
            <v>Coskunoz RU</v>
          </cell>
          <cell r="E30">
            <v>0.48</v>
          </cell>
          <cell r="F30">
            <v>0.77350360629362369</v>
          </cell>
          <cell r="G30" t="str">
            <v>OK</v>
          </cell>
        </row>
        <row r="31">
          <cell r="B31" t="str">
            <v>339128921R</v>
          </cell>
          <cell r="C31" t="str">
            <v>RENFORT D FIX PALIER RELAIS TRANSMISSION ASS</v>
          </cell>
          <cell r="D31" t="str">
            <v>Coskunoz RU</v>
          </cell>
          <cell r="E31">
            <v>0.48</v>
          </cell>
          <cell r="F31">
            <v>0.77350360629362369</v>
          </cell>
          <cell r="G31" t="str">
            <v>OK</v>
          </cell>
        </row>
        <row r="32">
          <cell r="B32" t="str">
            <v>620416992R</v>
          </cell>
          <cell r="C32" t="str">
            <v>BOITIER ABSORBEUR CHOC AV G ASS</v>
          </cell>
          <cell r="D32" t="str">
            <v>SC GIC NOSAG METAL SRL</v>
          </cell>
          <cell r="E32">
            <v>0.4</v>
          </cell>
          <cell r="F32">
            <v>1.0281088050676697</v>
          </cell>
          <cell r="G32" t="str">
            <v>OK</v>
          </cell>
        </row>
        <row r="33">
          <cell r="B33" t="str">
            <v>620404080R</v>
          </cell>
          <cell r="C33" t="str">
            <v>BOITIER ABSORBEUR CHOC AV D ASS</v>
          </cell>
          <cell r="D33" t="str">
            <v>SC GIC NOSAG METAL SRL</v>
          </cell>
          <cell r="E33">
            <v>0.39</v>
          </cell>
          <cell r="F33">
            <v>1.0150001333252097</v>
          </cell>
          <cell r="G33" t="str">
            <v>OK</v>
          </cell>
        </row>
        <row r="34">
          <cell r="B34" t="str">
            <v>612686622R</v>
          </cell>
          <cell r="C34" t="str">
            <v>SUPPORT INDEXAGE MOT ESSUIE VITRE ASS</v>
          </cell>
          <cell r="D34" t="str">
            <v>SC SILDVB COM SA</v>
          </cell>
          <cell r="E34">
            <v>0.27</v>
          </cell>
          <cell r="F34">
            <v>0.37510089533982388</v>
          </cell>
          <cell r="G34" t="str">
            <v>OK</v>
          </cell>
        </row>
        <row r="35">
          <cell r="B35" t="str">
            <v>671A06584R</v>
          </cell>
          <cell r="C35" t="str">
            <v>RENFORT D CLOISON CHAUFFAGE ASS</v>
          </cell>
          <cell r="D35" t="str">
            <v>SC SILDVB COM SA</v>
          </cell>
          <cell r="E35">
            <v>0.19</v>
          </cell>
          <cell r="F35">
            <v>0.38485895334365916</v>
          </cell>
          <cell r="G35" t="str">
            <v>OK</v>
          </cell>
        </row>
        <row r="36">
          <cell r="B36" t="str">
            <v>671A17344R</v>
          </cell>
          <cell r="C36" t="str">
            <v>RENFORT SUP G CLOISON CHAUFFAGE</v>
          </cell>
          <cell r="D36" t="str">
            <v>SC MUSA PITESTI 96 SA</v>
          </cell>
          <cell r="E36">
            <v>0.14178499999999999</v>
          </cell>
          <cell r="F36">
            <v>0.19128361249080164</v>
          </cell>
          <cell r="G36" t="str">
            <v>OK</v>
          </cell>
        </row>
        <row r="37">
          <cell r="B37" t="str">
            <v>671A06597R</v>
          </cell>
          <cell r="C37" t="str">
            <v>RENFORT SUP D CLOISON CHAUFFAGE</v>
          </cell>
          <cell r="D37" t="str">
            <v>SC MUSA PITESTI 96 SA</v>
          </cell>
          <cell r="E37">
            <v>0.14038500000000001</v>
          </cell>
          <cell r="F37">
            <v>0.1894369996018638</v>
          </cell>
          <cell r="G37" t="str">
            <v>OK</v>
          </cell>
        </row>
        <row r="38">
          <cell r="B38" t="str">
            <v>743787607R</v>
          </cell>
          <cell r="C38" t="str">
            <v>EQUERRE GUIDAGE PLANCHE BORD</v>
          </cell>
          <cell r="D38" t="str">
            <v>SC SILDVB COM SA</v>
          </cell>
          <cell r="E38">
            <v>0.13</v>
          </cell>
          <cell r="F38">
            <v>0.18674385682499475</v>
          </cell>
          <cell r="G38" t="str">
            <v>OK</v>
          </cell>
        </row>
        <row r="39">
          <cell r="B39" t="str">
            <v>743785940R</v>
          </cell>
          <cell r="C39" t="str">
            <v>EQUERRE GUIDAGE PLANCHE BORD</v>
          </cell>
          <cell r="D39" t="str">
            <v>SC SILDVB COM SA</v>
          </cell>
          <cell r="E39">
            <v>0.12</v>
          </cell>
          <cell r="F39">
            <v>0.17384687791812731</v>
          </cell>
          <cell r="G39" t="str">
            <v>OK</v>
          </cell>
        </row>
        <row r="40">
          <cell r="B40" t="str">
            <v>743782104R</v>
          </cell>
          <cell r="C40" t="str">
            <v>EQUERRE GUIDAGE PLANCHE BORD</v>
          </cell>
          <cell r="D40" t="str">
            <v>SC SILDVB COM SA</v>
          </cell>
          <cell r="E40">
            <v>0.1</v>
          </cell>
          <cell r="F40">
            <v>0.14805292010439242</v>
          </cell>
          <cell r="G40" t="str">
            <v>OK</v>
          </cell>
        </row>
        <row r="41">
          <cell r="B41" t="str">
            <v>752B29344R</v>
          </cell>
          <cell r="C41" t="str">
            <v>SUPPORT SUP FILTRE AIR ASS</v>
          </cell>
          <cell r="D41" t="str">
            <v>SC GIC NOSAG METAL SRL</v>
          </cell>
          <cell r="E41">
            <v>8.3049999999999999E-2</v>
          </cell>
          <cell r="F41">
            <v>0.13094331140118823</v>
          </cell>
          <cell r="G41" t="str">
            <v>OK</v>
          </cell>
        </row>
        <row r="42">
          <cell r="B42" t="str">
            <v>562261387R</v>
          </cell>
          <cell r="C42" t="str">
            <v>DOUILLE FIX TRAIN AR</v>
          </cell>
          <cell r="D42" t="str">
            <v>COSKUNOZ METAL FORM MAK END TURKIYE</v>
          </cell>
          <cell r="E42">
            <v>0.97</v>
          </cell>
          <cell r="F42">
            <v>1.350728169158097</v>
          </cell>
          <cell r="G42" t="str">
            <v>OK</v>
          </cell>
        </row>
        <row r="43">
          <cell r="B43" t="str">
            <v>295A69918R</v>
          </cell>
          <cell r="C43" t="str">
            <v>CADRE BATTERIE TRACTION SUR SBS ASS</v>
          </cell>
          <cell r="D43" t="str">
            <v>COSKUNOZ TURKIYE</v>
          </cell>
          <cell r="E43">
            <v>1.1599999999999999</v>
          </cell>
          <cell r="F43">
            <v>1.522367458666342</v>
          </cell>
          <cell r="G43" t="str">
            <v>OK</v>
          </cell>
        </row>
        <row r="44">
          <cell r="B44" t="str">
            <v>756990878R</v>
          </cell>
          <cell r="C44" t="str">
            <v>SUPPORT LAT G MAINTIEN RESERVOIR ASS</v>
          </cell>
          <cell r="D44" t="str">
            <v>COSKUNOZ TURKIYE</v>
          </cell>
          <cell r="E44">
            <v>0.504</v>
          </cell>
          <cell r="F44">
            <v>0.67522963887327547</v>
          </cell>
          <cell r="G44" t="str">
            <v>OK</v>
          </cell>
        </row>
        <row r="45">
          <cell r="B45" t="str">
            <v>751118765R</v>
          </cell>
          <cell r="C45" t="str">
            <v>LONGERON AV G PARTIE AV ASS</v>
          </cell>
          <cell r="D45" t="str">
            <v>GESTAMP Brasil</v>
          </cell>
          <cell r="E45">
            <v>10.801</v>
          </cell>
          <cell r="F45">
            <v>17.877968792156274</v>
          </cell>
          <cell r="G45" t="str">
            <v>OK</v>
          </cell>
        </row>
        <row r="46">
          <cell r="B46" t="str">
            <v>751320186R</v>
          </cell>
          <cell r="C46" t="str">
            <v>ELEMENT FRMT AV LONGERON AV D ASS</v>
          </cell>
          <cell r="D46" t="str">
            <v>GESTAMP Brasil</v>
          </cell>
          <cell r="E46">
            <v>3.919</v>
          </cell>
          <cell r="F46">
            <v>7.7388155290313509</v>
          </cell>
          <cell r="G46" t="str">
            <v>OK</v>
          </cell>
        </row>
        <row r="47">
          <cell r="B47" t="str">
            <v>751N81177R</v>
          </cell>
          <cell r="C47" t="str">
            <v>LONGERON AV D PARTIE AR</v>
          </cell>
          <cell r="D47" t="str">
            <v>CURITIBA plant</v>
          </cell>
          <cell r="E47">
            <v>2.88</v>
          </cell>
          <cell r="F47">
            <v>5.8614079588768213</v>
          </cell>
          <cell r="G47" t="str">
            <v>OK</v>
          </cell>
        </row>
        <row r="48">
          <cell r="B48" t="str">
            <v>751261907R</v>
          </cell>
          <cell r="C48" t="str">
            <v>BOITIER AV D FIX BERCEAU ASS</v>
          </cell>
          <cell r="D48" t="str">
            <v>POLISTAMPO INDUSTRIA METALUR Brasil</v>
          </cell>
          <cell r="E48">
            <v>3.4092392942712064</v>
          </cell>
          <cell r="F48">
            <v>4.7758344441514362</v>
          </cell>
          <cell r="G48" t="str">
            <v>OK</v>
          </cell>
        </row>
        <row r="49">
          <cell r="B49" t="str">
            <v>751103286R</v>
          </cell>
          <cell r="C49" t="str">
            <v>LONGERON AV D PARTIE AV ASS</v>
          </cell>
          <cell r="D49" t="str">
            <v>GESTAMP Brasil</v>
          </cell>
          <cell r="E49">
            <v>11.54</v>
          </cell>
          <cell r="F49">
            <v>18.850255111321857</v>
          </cell>
          <cell r="G49" t="str">
            <v>OK</v>
          </cell>
        </row>
        <row r="50">
          <cell r="B50" t="str">
            <v>751N98920R</v>
          </cell>
          <cell r="C50" t="str">
            <v>LONGERON AV G PARTIE AR</v>
          </cell>
          <cell r="D50" t="str">
            <v>CURITIBA plant</v>
          </cell>
          <cell r="E50">
            <v>2.88</v>
          </cell>
          <cell r="F50">
            <v>5.8614079588768213</v>
          </cell>
          <cell r="G50" t="str">
            <v>OK</v>
          </cell>
        </row>
        <row r="51">
          <cell r="B51" t="str">
            <v>751270814R</v>
          </cell>
          <cell r="C51" t="str">
            <v>BOITIER AV G FIX BERCEAU AV ASS</v>
          </cell>
          <cell r="D51" t="str">
            <v>POLISTAMPO INDUSTRIA METALUR Brasil</v>
          </cell>
          <cell r="E51">
            <v>3.097555799158497</v>
          </cell>
          <cell r="F51">
            <v>4.976807933015154</v>
          </cell>
          <cell r="G51" t="str">
            <v>OK</v>
          </cell>
        </row>
        <row r="52">
          <cell r="B52" t="str">
            <v>743103251R</v>
          </cell>
          <cell r="C52" t="str">
            <v>TUNNEL</v>
          </cell>
          <cell r="D52" t="str">
            <v>CURITIBA plant</v>
          </cell>
          <cell r="E52">
            <v>6.2351818523076927</v>
          </cell>
          <cell r="F52">
            <v>11.143500528470538</v>
          </cell>
          <cell r="G52" t="str">
            <v>OK</v>
          </cell>
        </row>
        <row r="53">
          <cell r="B53" t="str">
            <v>752228913R</v>
          </cell>
          <cell r="C53" t="str">
            <v>RENFORT TRAVERSE EXTREME AV</v>
          </cell>
          <cell r="D53" t="str">
            <v>GESTAMP Brasil</v>
          </cell>
          <cell r="G53" t="str">
            <v>OK</v>
          </cell>
        </row>
        <row r="54">
          <cell r="B54" t="str">
            <v>755135613R</v>
          </cell>
          <cell r="C54" t="str">
            <v>LONGERON AR G PARTIE AV</v>
          </cell>
          <cell r="D54" t="str">
            <v>COSKUNOZ MA SRL ROMANIA</v>
          </cell>
          <cell r="E54">
            <v>5.1440000000000001</v>
          </cell>
          <cell r="F54">
            <v>7.7540511629919395</v>
          </cell>
          <cell r="G54" t="str">
            <v>OK</v>
          </cell>
        </row>
        <row r="55">
          <cell r="B55" t="str">
            <v>745989357R</v>
          </cell>
          <cell r="C55" t="str">
            <v>APPUI CRIC AR G</v>
          </cell>
          <cell r="D55" t="str">
            <v>MUSA</v>
          </cell>
          <cell r="E55">
            <v>0.31</v>
          </cell>
          <cell r="F55">
            <v>0.75647072133868576</v>
          </cell>
          <cell r="G55" t="str">
            <v>OK</v>
          </cell>
        </row>
        <row r="56">
          <cell r="B56" t="str">
            <v>755124349R</v>
          </cell>
          <cell r="C56" t="str">
            <v>LONGERON AR D PARTIE AV</v>
          </cell>
          <cell r="D56" t="str">
            <v>COSKUNOZ MA SRL ROMANIA</v>
          </cell>
          <cell r="E56">
            <v>5.1440000000000001</v>
          </cell>
          <cell r="F56">
            <v>7.1826231898910349</v>
          </cell>
          <cell r="G56" t="str">
            <v>OK</v>
          </cell>
        </row>
        <row r="57">
          <cell r="B57" t="str">
            <v>745613479R</v>
          </cell>
          <cell r="C57" t="str">
            <v>SUPPORT AR ECHAPPEMENT ASS</v>
          </cell>
          <cell r="D57" t="str">
            <v>POLISTAMPO INDUSTRIA METALUR Brasil</v>
          </cell>
          <cell r="E57">
            <v>0.128</v>
          </cell>
          <cell r="F57">
            <v>0.3838800967311054</v>
          </cell>
          <cell r="G57" t="str">
            <v>OK</v>
          </cell>
        </row>
        <row r="58">
          <cell r="B58" t="str">
            <v>511969788R</v>
          </cell>
          <cell r="C58" t="str">
            <v>RENFORT FIX ATTELAGE CARAVANE ASS</v>
          </cell>
          <cell r="D58" t="str">
            <v>CO HJF</v>
          </cell>
          <cell r="G58" t="str">
            <v>OK</v>
          </cell>
        </row>
        <row r="59">
          <cell r="B59" t="str">
            <v>764949820R</v>
          </cell>
          <cell r="C59" t="str">
            <v>APPUI CRIC AR D</v>
          </cell>
          <cell r="D59" t="str">
            <v>MUSA</v>
          </cell>
          <cell r="E59">
            <v>0.31</v>
          </cell>
          <cell r="F59">
            <v>0.75647072133868576</v>
          </cell>
          <cell r="G59" t="str">
            <v>OK</v>
          </cell>
        </row>
        <row r="60">
          <cell r="B60" t="str">
            <v>756501618R</v>
          </cell>
          <cell r="C60" t="str">
            <v>PARCLOSE PLANCHER AR</v>
          </cell>
          <cell r="D60" t="str">
            <v>Romaine plant</v>
          </cell>
          <cell r="E60">
            <v>8.35</v>
          </cell>
          <cell r="F60">
            <v>11.656096480058897</v>
          </cell>
          <cell r="G60" t="str">
            <v>OK</v>
          </cell>
        </row>
        <row r="61">
          <cell r="B61" t="str">
            <v>794B25799R</v>
          </cell>
          <cell r="C61" t="str">
            <v>FIL ANCRAGE SIEGE ENFANT</v>
          </cell>
          <cell r="D61" t="str">
            <v>GIC NOSAG Romania</v>
          </cell>
          <cell r="G61" t="str">
            <v>OK</v>
          </cell>
        </row>
        <row r="62">
          <cell r="B62" t="str">
            <v>673391783R</v>
          </cell>
          <cell r="C62" t="str">
            <v>RENFORT TABLIER G</v>
          </cell>
          <cell r="D62" t="str">
            <v>TOWER</v>
          </cell>
          <cell r="E62">
            <v>2.31</v>
          </cell>
          <cell r="F62">
            <v>3.1275644815016421</v>
          </cell>
          <cell r="G62" t="str">
            <v>OK</v>
          </cell>
        </row>
        <row r="63">
          <cell r="B63" t="str">
            <v>671513477R</v>
          </cell>
          <cell r="C63" t="str">
            <v>SUPPORT TRAVERSE COLONNE DRC</v>
          </cell>
          <cell r="D63" t="str">
            <v>GIC NOSAG ROMANIA</v>
          </cell>
          <cell r="G63" t="str">
            <v>Add</v>
          </cell>
        </row>
        <row r="64">
          <cell r="B64" t="str">
            <v>207028325R</v>
          </cell>
          <cell r="C64" t="str">
            <v>FIL SUPPORT ECHAPPEMENT AR</v>
          </cell>
          <cell r="D64" t="str">
            <v xml:space="preserve">GESTAMP </v>
          </cell>
          <cell r="G64" t="str">
            <v>Add</v>
          </cell>
        </row>
        <row r="65">
          <cell r="B65" t="str">
            <v>511761925R</v>
          </cell>
          <cell r="C65" t="str">
            <v>RENFORT FIX ATTELAGE CARAVANE ASS</v>
          </cell>
          <cell r="D65" t="str">
            <v>CELIKFORM OTOMOTIV AS</v>
          </cell>
          <cell r="G65" t="str">
            <v>Add</v>
          </cell>
        </row>
        <row r="66">
          <cell r="B66" t="str">
            <v>938380975R</v>
          </cell>
          <cell r="C66" t="str">
            <v>MARCHEPIED AR</v>
          </cell>
          <cell r="D66" t="str">
            <v>BENTELER COMPONENTES AUTOM</v>
          </cell>
          <cell r="G66" t="str">
            <v>Add</v>
          </cell>
        </row>
        <row r="67">
          <cell r="B67" t="str">
            <v>762C50201R</v>
          </cell>
          <cell r="C67" t="str">
            <v>EL LZ AV DBL PIED AV G SUR LJR AV G ASS</v>
          </cell>
          <cell r="D67" t="str">
            <v>SC SILDVB COM SA</v>
          </cell>
          <cell r="G67" t="str">
            <v>Add</v>
          </cell>
        </row>
        <row r="68">
          <cell r="B68" t="str">
            <v>743F35850R</v>
          </cell>
          <cell r="C68" t="str">
            <v>RENFORT LONGERONNET G TUNNEL</v>
          </cell>
          <cell r="D68" t="str">
            <v>COSKUNOZ MA</v>
          </cell>
          <cell r="G68" t="str">
            <v>Add</v>
          </cell>
        </row>
        <row r="69">
          <cell r="B69" t="str">
            <v>743F21555R</v>
          </cell>
          <cell r="C69" t="str">
            <v>RENFORT LONGERONNET D TUNNEL</v>
          </cell>
          <cell r="D69" t="str">
            <v>MUSA</v>
          </cell>
          <cell r="G69" t="str">
            <v>Add</v>
          </cell>
        </row>
        <row r="70">
          <cell r="B70" t="str">
            <v>200201451R</v>
          </cell>
          <cell r="C70" t="str">
            <v>RENFORT LONGERONNET D TUNNEL ASS</v>
          </cell>
          <cell r="D70" t="str">
            <v>MUSA</v>
          </cell>
          <cell r="G70" t="str">
            <v>Add</v>
          </cell>
        </row>
        <row r="71">
          <cell r="B71" t="str">
            <v>663009100R</v>
          </cell>
          <cell r="C71" t="str">
            <v>CLOISON CHAUFFAGE</v>
          </cell>
          <cell r="D71" t="str">
            <v>CURITIBA plant</v>
          </cell>
          <cell r="G71" t="str">
            <v>Add</v>
          </cell>
        </row>
        <row r="72">
          <cell r="B72" t="str">
            <v>751316315R</v>
          </cell>
          <cell r="C72" t="str">
            <v>ELEMENT FRMT LONGERON AV G ASS</v>
          </cell>
          <cell r="D72" t="str">
            <v>GESTAMP Brasil</v>
          </cell>
          <cell r="G72" t="str">
            <v>Add</v>
          </cell>
        </row>
      </sheetData>
      <sheetData sheetId="2" refreshError="1"/>
      <sheetData sheetId="3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DENARO Ariel (renexter)" id="{70A612FB-B287-45F9-BDAE-D612AD892372}" userId="S::ariel.denaro-extern@renault.com::b6e4b3ba-8b27-49dd-94bb-67fab77f9207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6AE574F-02C7-4C04-8003-CE433F7E5EC7}" name="Tabla1" displayName="Tabla1" ref="A1:G76" totalsRowCount="1">
  <autoFilter ref="A1:G75" xr:uid="{E6AE574F-02C7-4C04-8003-CE433F7E5EC7}"/>
  <tableColumns count="7">
    <tableColumn id="1" xr3:uid="{B6A3C44B-0E6E-402A-943A-DDC445293C24}" name="CLIENT" totalsRowLabel="Total"/>
    <tableColumn id="2" xr3:uid="{D9767E02-E145-4D3F-960A-901588831D38}" name="Part Number" totalsRowFunction="count"/>
    <tableColumn id="6" xr3:uid="{02D4F2D9-A6F5-4ECB-8AE3-5B962D3D9EEC}" name="Designation"/>
    <tableColumn id="5" xr3:uid="{020407D8-1C91-4050-B971-6F65A93351A1}" name="Supplier"/>
    <tableColumn id="8" xr3:uid="{B177F055-C54A-401E-AE2B-3BB5E6E919EB}" name="OBS _x000a_PFE GFE12 " dataDxfId="56" totalsRowDxfId="55"/>
    <tableColumn id="4" xr3:uid="{981A2282-1969-430D-904E-7B6A7CAE870D}" name="Mass" dataDxfId="54" totalsRowDxfId="53">
      <calculatedColumnFormula>VLOOKUP(Tabla1[[#This Row],[Part Number]],tableau_gfe12!$P$2:$AA$401,12,FALSE)</calculatedColumnFormula>
    </tableColumn>
    <tableColumn id="3" xr3:uid="{848E0AA2-CF54-4CD0-833F-FD6213AE4396}" name="Coef." dataDxfId="52">
      <calculatedColumnFormula>VLOOKUP(Tabla1[[#This Row],[Part Number]],tableau_gfe12!$P$2:$AA$401,8,FALSE)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C11" dT="2024-06-27T11:06:39.51" personId="{70A612FB-B287-45F9-BDAE-D612AD892372}" id="{40E9EC99-9DB5-47C0-AD7F-675A57B6E943}">
    <text>appears as POI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Relationship Id="rId4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4D2890-2599-46A1-8765-30F68E15BCFE}">
  <sheetPr codeName="Hoja1" filterMode="1"/>
  <dimension ref="A1:AG401"/>
  <sheetViews>
    <sheetView topLeftCell="H1" zoomScale="85" zoomScaleNormal="85" workbookViewId="0">
      <pane ySplit="1" topLeftCell="A344" activePane="bottomLeft" state="frozen"/>
      <selection pane="bottomLeft" activeCell="P374" sqref="P374"/>
    </sheetView>
  </sheetViews>
  <sheetFormatPr baseColWidth="10" defaultColWidth="11.42578125" defaultRowHeight="15" outlineLevelCol="1"/>
  <cols>
    <col min="1" max="1" width="11.42578125" style="1"/>
    <col min="2" max="2" width="11.42578125" style="1" customWidth="1"/>
    <col min="3" max="3" width="10.85546875" style="1" customWidth="1"/>
    <col min="4" max="4" width="35.5703125" style="1" customWidth="1"/>
    <col min="5" max="5" width="15.140625" style="1" customWidth="1"/>
    <col min="6" max="6" width="33.85546875" style="1" customWidth="1"/>
    <col min="7" max="8" width="41.7109375" style="1" customWidth="1"/>
    <col min="9" max="9" width="10.140625" style="1" customWidth="1"/>
    <col min="10" max="15" width="5.7109375" style="1" customWidth="1"/>
    <col min="16" max="16" width="16.28515625" style="1" customWidth="1" outlineLevel="1"/>
    <col min="17" max="17" width="11.140625" style="1" customWidth="1" outlineLevel="1"/>
    <col min="18" max="18" width="11.28515625" style="1" customWidth="1" outlineLevel="1"/>
    <col min="19" max="19" width="44.28515625" style="127" customWidth="1" outlineLevel="1"/>
    <col min="20" max="20" width="19.7109375" style="127" customWidth="1" outlineLevel="1"/>
    <col min="21" max="21" width="60.42578125" style="1" customWidth="1" outlineLevel="1"/>
    <col min="22" max="23" width="11.42578125" style="1" customWidth="1" outlineLevel="1"/>
    <col min="24" max="24" width="24.85546875" style="1" customWidth="1" outlineLevel="1"/>
    <col min="25" max="25" width="12.28515625" style="1" customWidth="1" outlineLevel="1"/>
    <col min="26" max="26" width="14.140625" style="1" customWidth="1" outlineLevel="1"/>
    <col min="27" max="27" width="11.5703125" style="1" customWidth="1" outlineLevel="1"/>
    <col min="28" max="28" width="17.140625" style="1" bestFit="1" customWidth="1"/>
    <col min="29" max="29" width="17.5703125" style="1" bestFit="1" customWidth="1"/>
    <col min="30" max="30" width="16.7109375" style="1" bestFit="1" customWidth="1"/>
    <col min="31" max="31" width="19.42578125" style="1" bestFit="1" customWidth="1"/>
    <col min="32" max="32" width="12.85546875" style="1" bestFit="1" customWidth="1"/>
    <col min="33" max="16384" width="11.42578125" style="1"/>
  </cols>
  <sheetData>
    <row r="1" spans="1:33" ht="15.75">
      <c r="A1" s="115" t="s">
        <v>824</v>
      </c>
      <c r="B1" s="116" t="s">
        <v>1</v>
      </c>
      <c r="C1" s="116" t="s">
        <v>2</v>
      </c>
      <c r="D1" s="116" t="s">
        <v>3</v>
      </c>
      <c r="E1" s="116" t="s">
        <v>922</v>
      </c>
      <c r="F1" s="116" t="s">
        <v>872</v>
      </c>
      <c r="G1" s="116" t="s">
        <v>1118</v>
      </c>
      <c r="H1" s="116" t="s">
        <v>1118</v>
      </c>
      <c r="I1" s="116" t="s">
        <v>4</v>
      </c>
      <c r="J1" s="117">
        <v>1</v>
      </c>
      <c r="K1" s="117">
        <v>2</v>
      </c>
      <c r="L1" s="117">
        <v>3</v>
      </c>
      <c r="M1" s="117">
        <v>4</v>
      </c>
      <c r="N1" s="117">
        <v>5</v>
      </c>
      <c r="O1" s="117">
        <v>6</v>
      </c>
      <c r="P1" s="116" t="s">
        <v>825</v>
      </c>
      <c r="Q1" s="116" t="s">
        <v>823</v>
      </c>
      <c r="R1" s="116" t="s">
        <v>5</v>
      </c>
      <c r="S1" s="116" t="s">
        <v>832</v>
      </c>
      <c r="T1" s="116" t="s">
        <v>846</v>
      </c>
      <c r="U1" s="116" t="s">
        <v>6</v>
      </c>
      <c r="V1" s="116" t="s">
        <v>7</v>
      </c>
      <c r="W1" s="116" t="s">
        <v>8</v>
      </c>
      <c r="X1" s="116" t="s">
        <v>9</v>
      </c>
      <c r="Y1" s="116" t="s">
        <v>10</v>
      </c>
      <c r="Z1" s="116" t="s">
        <v>826</v>
      </c>
      <c r="AA1" s="116" t="s">
        <v>827</v>
      </c>
      <c r="AB1" s="116" t="s">
        <v>11</v>
      </c>
      <c r="AC1" s="116" t="s">
        <v>828</v>
      </c>
      <c r="AD1" s="116" t="s">
        <v>829</v>
      </c>
      <c r="AE1" s="116" t="s">
        <v>830</v>
      </c>
      <c r="AF1" s="116" t="s">
        <v>831</v>
      </c>
    </row>
    <row r="2" spans="1:33" s="12" customFormat="1" ht="21.95" hidden="1" customHeight="1">
      <c r="A2" s="20">
        <v>1</v>
      </c>
      <c r="B2" s="21">
        <v>12</v>
      </c>
      <c r="C2" s="21">
        <v>26303</v>
      </c>
      <c r="D2" s="21" t="s">
        <v>918</v>
      </c>
      <c r="E2" s="142"/>
      <c r="F2" s="21" t="s">
        <v>918</v>
      </c>
      <c r="G2" s="21" t="s">
        <v>918</v>
      </c>
      <c r="H2" s="21" t="s">
        <v>918</v>
      </c>
      <c r="I2" s="21" t="s">
        <v>697</v>
      </c>
      <c r="J2" s="22" t="s">
        <v>13</v>
      </c>
      <c r="K2" s="22"/>
      <c r="L2" s="22"/>
      <c r="M2" s="22"/>
      <c r="N2" s="22"/>
      <c r="O2" s="22"/>
      <c r="P2" s="21" t="s">
        <v>14</v>
      </c>
      <c r="Q2" s="77" t="s">
        <v>861</v>
      </c>
      <c r="R2" s="209" t="s">
        <v>847</v>
      </c>
      <c r="S2" s="39" t="s">
        <v>712</v>
      </c>
      <c r="T2" s="39"/>
      <c r="U2" s="23" t="s">
        <v>712</v>
      </c>
      <c r="V2" s="14"/>
      <c r="W2" s="23"/>
      <c r="X2" s="23"/>
      <c r="Y2" s="23"/>
      <c r="Z2" s="23"/>
      <c r="AA2" s="23"/>
      <c r="AB2" s="37" t="s">
        <v>17</v>
      </c>
      <c r="AC2" s="23" t="s">
        <v>18</v>
      </c>
      <c r="AD2" s="23" t="s">
        <v>19</v>
      </c>
      <c r="AE2" s="23" t="s">
        <v>20</v>
      </c>
      <c r="AF2" s="23" t="s">
        <v>21</v>
      </c>
      <c r="AG2" s="11"/>
    </row>
    <row r="3" spans="1:33" s="12" customFormat="1" ht="21.95" hidden="1" customHeight="1">
      <c r="A3" s="16">
        <v>2</v>
      </c>
      <c r="B3" s="17">
        <v>12</v>
      </c>
      <c r="C3" s="17">
        <v>26303</v>
      </c>
      <c r="D3" s="17" t="s">
        <v>918</v>
      </c>
      <c r="E3" s="143"/>
      <c r="F3" s="21" t="s">
        <v>918</v>
      </c>
      <c r="G3" s="21" t="e">
        <f>VLOOKUP(P3,'CO F3'!$C$2:$M$108,7,FALSE)</f>
        <v>#N/A</v>
      </c>
      <c r="H3" s="21" t="e">
        <f>VLOOKUP(Q3,'CO F3'!$C$2:$M$108,7,FALSE)</f>
        <v>#N/A</v>
      </c>
      <c r="I3" s="17" t="s">
        <v>697</v>
      </c>
      <c r="J3" s="18"/>
      <c r="K3" s="18" t="s">
        <v>13</v>
      </c>
      <c r="L3" s="18"/>
      <c r="M3" s="18"/>
      <c r="N3" s="18"/>
      <c r="O3" s="18"/>
      <c r="P3" s="17" t="s">
        <v>22</v>
      </c>
      <c r="Q3" s="97" t="s">
        <v>861</v>
      </c>
      <c r="R3" s="210" t="s">
        <v>848</v>
      </c>
      <c r="S3" s="40" t="s">
        <v>712</v>
      </c>
      <c r="T3" s="40" t="s">
        <v>14</v>
      </c>
      <c r="U3" s="19" t="s">
        <v>23</v>
      </c>
      <c r="V3" s="13" t="s">
        <v>24</v>
      </c>
      <c r="W3" s="19">
        <v>1</v>
      </c>
      <c r="X3" s="19" t="s">
        <v>25</v>
      </c>
      <c r="Y3" s="19" t="s">
        <v>316</v>
      </c>
      <c r="Z3" s="19">
        <v>2</v>
      </c>
      <c r="AA3" s="19">
        <v>0.18</v>
      </c>
      <c r="AB3" s="44" t="s">
        <v>27</v>
      </c>
      <c r="AC3" s="19" t="s">
        <v>18</v>
      </c>
      <c r="AD3" s="19" t="s">
        <v>19</v>
      </c>
      <c r="AE3" s="19" t="s">
        <v>20</v>
      </c>
      <c r="AF3" s="19" t="s">
        <v>21</v>
      </c>
      <c r="AG3" s="11"/>
    </row>
    <row r="4" spans="1:33" s="12" customFormat="1" ht="21.95" hidden="1" customHeight="1">
      <c r="A4" s="24">
        <v>3</v>
      </c>
      <c r="B4" s="25">
        <v>12</v>
      </c>
      <c r="C4" s="25">
        <v>26303</v>
      </c>
      <c r="D4" s="25" t="s">
        <v>918</v>
      </c>
      <c r="E4" s="144"/>
      <c r="F4" s="21" t="s">
        <v>917</v>
      </c>
      <c r="G4" s="21" t="e">
        <f>VLOOKUP(P4,'CO F3'!$C$2:$M$108,7,FALSE)</f>
        <v>#N/A</v>
      </c>
      <c r="H4" s="21" t="e">
        <f>VLOOKUP(Q4,'CO F3'!$C$2:$M$108,7,FALSE)</f>
        <v>#N/A</v>
      </c>
      <c r="I4" s="25" t="s">
        <v>697</v>
      </c>
      <c r="J4" s="26"/>
      <c r="K4" s="26" t="s">
        <v>13</v>
      </c>
      <c r="L4" s="26"/>
      <c r="M4" s="26"/>
      <c r="N4" s="26"/>
      <c r="O4" s="26"/>
      <c r="P4" s="25">
        <v>7703042100</v>
      </c>
      <c r="Q4" s="25" t="s">
        <v>849</v>
      </c>
      <c r="R4" s="41" t="s">
        <v>849</v>
      </c>
      <c r="S4" s="41" t="s">
        <v>712</v>
      </c>
      <c r="T4" s="41" t="s">
        <v>14</v>
      </c>
      <c r="U4" s="27" t="s">
        <v>28</v>
      </c>
      <c r="V4" s="15" t="s">
        <v>29</v>
      </c>
      <c r="W4" s="27">
        <v>1</v>
      </c>
      <c r="X4" s="27"/>
      <c r="Y4" s="27"/>
      <c r="Z4" s="27"/>
      <c r="AA4" s="27">
        <v>1.4999999999999999E-2</v>
      </c>
      <c r="AB4" s="38" t="s">
        <v>30</v>
      </c>
      <c r="AC4" s="27" t="s">
        <v>18</v>
      </c>
      <c r="AD4" s="27" t="s">
        <v>19</v>
      </c>
      <c r="AE4" s="27" t="s">
        <v>20</v>
      </c>
      <c r="AF4" s="27" t="s">
        <v>21</v>
      </c>
      <c r="AG4" s="11"/>
    </row>
    <row r="5" spans="1:33" s="12" customFormat="1" ht="21.95" hidden="1" customHeight="1">
      <c r="A5" s="20">
        <v>4</v>
      </c>
      <c r="B5" s="21">
        <v>12</v>
      </c>
      <c r="C5" s="21">
        <v>23046</v>
      </c>
      <c r="D5" s="21" t="s">
        <v>918</v>
      </c>
      <c r="E5" s="142"/>
      <c r="F5" s="21" t="s">
        <v>918</v>
      </c>
      <c r="G5" s="21" t="s">
        <v>918</v>
      </c>
      <c r="H5" s="21" t="s">
        <v>918</v>
      </c>
      <c r="I5" s="21" t="s">
        <v>697</v>
      </c>
      <c r="J5" s="22" t="s">
        <v>13</v>
      </c>
      <c r="K5" s="22"/>
      <c r="L5" s="22"/>
      <c r="M5" s="22"/>
      <c r="N5" s="22"/>
      <c r="O5" s="22"/>
      <c r="P5" s="21" t="s">
        <v>31</v>
      </c>
      <c r="Q5" s="21" t="s">
        <v>862</v>
      </c>
      <c r="R5" s="39" t="s">
        <v>848</v>
      </c>
      <c r="S5" s="39" t="s">
        <v>32</v>
      </c>
      <c r="T5" s="39"/>
      <c r="U5" s="23" t="s">
        <v>32</v>
      </c>
      <c r="V5" s="14" t="s">
        <v>16</v>
      </c>
      <c r="W5" s="23">
        <v>1</v>
      </c>
      <c r="X5" s="23"/>
      <c r="Y5" s="23"/>
      <c r="Z5" s="23"/>
      <c r="AA5" s="23">
        <v>0.85899999999999999</v>
      </c>
      <c r="AB5" s="37" t="s">
        <v>17</v>
      </c>
      <c r="AC5" s="23" t="s">
        <v>33</v>
      </c>
      <c r="AD5" s="23" t="s">
        <v>34</v>
      </c>
      <c r="AE5" s="23" t="s">
        <v>20</v>
      </c>
      <c r="AF5" s="23" t="s">
        <v>35</v>
      </c>
      <c r="AG5" s="11"/>
    </row>
    <row r="6" spans="1:33" s="12" customFormat="1" ht="21.95" hidden="1" customHeight="1">
      <c r="A6" s="16">
        <v>5</v>
      </c>
      <c r="B6" s="17">
        <v>12</v>
      </c>
      <c r="C6" s="17">
        <v>23046</v>
      </c>
      <c r="D6" s="17" t="s">
        <v>918</v>
      </c>
      <c r="E6" s="143"/>
      <c r="F6" s="21" t="s">
        <v>918</v>
      </c>
      <c r="G6" s="21" t="e">
        <f>VLOOKUP(P6,'CO F3'!$C$2:$M$108,7,FALSE)</f>
        <v>#N/A</v>
      </c>
      <c r="H6" s="21" t="e">
        <f>VLOOKUP(Q6,'CO F3'!$C$2:$M$108,7,FALSE)</f>
        <v>#N/A</v>
      </c>
      <c r="I6" s="17" t="s">
        <v>697</v>
      </c>
      <c r="J6" s="18"/>
      <c r="K6" s="18" t="s">
        <v>13</v>
      </c>
      <c r="L6" s="18"/>
      <c r="M6" s="18"/>
      <c r="N6" s="18"/>
      <c r="O6" s="18"/>
      <c r="P6" s="17" t="s">
        <v>36</v>
      </c>
      <c r="Q6" s="17" t="s">
        <v>863</v>
      </c>
      <c r="R6" s="40" t="s">
        <v>850</v>
      </c>
      <c r="S6" s="40" t="s">
        <v>32</v>
      </c>
      <c r="T6" s="40" t="s">
        <v>31</v>
      </c>
      <c r="U6" s="19" t="s">
        <v>37</v>
      </c>
      <c r="V6" s="13" t="s">
        <v>24</v>
      </c>
      <c r="W6" s="19">
        <v>1</v>
      </c>
      <c r="X6" s="19" t="s">
        <v>833</v>
      </c>
      <c r="Y6" s="19" t="s">
        <v>38</v>
      </c>
      <c r="Z6" s="19">
        <v>1.99</v>
      </c>
      <c r="AA6" s="19">
        <v>0.40899999999999997</v>
      </c>
      <c r="AB6" s="37" t="s">
        <v>17</v>
      </c>
      <c r="AC6" s="19" t="s">
        <v>33</v>
      </c>
      <c r="AD6" s="19" t="s">
        <v>34</v>
      </c>
      <c r="AE6" s="19" t="s">
        <v>20</v>
      </c>
      <c r="AF6" s="19" t="s">
        <v>35</v>
      </c>
      <c r="AG6" s="11"/>
    </row>
    <row r="7" spans="1:33" s="12" customFormat="1" ht="21.95" hidden="1" customHeight="1">
      <c r="A7" s="31">
        <v>6</v>
      </c>
      <c r="B7" s="32">
        <v>12</v>
      </c>
      <c r="C7" s="32">
        <v>23046</v>
      </c>
      <c r="D7" s="32" t="s">
        <v>918</v>
      </c>
      <c r="E7" s="145"/>
      <c r="F7" s="21" t="s">
        <v>918</v>
      </c>
      <c r="G7" s="21" t="e">
        <f>VLOOKUP(P7,'CO F3'!$C$2:$M$108,7,FALSE)</f>
        <v>#N/A</v>
      </c>
      <c r="H7" s="21" t="e">
        <f>VLOOKUP(Q7,'CO F3'!$C$2:$M$108,7,FALSE)</f>
        <v>#N/A</v>
      </c>
      <c r="I7" s="32" t="s">
        <v>697</v>
      </c>
      <c r="J7" s="33"/>
      <c r="K7" s="33" t="s">
        <v>13</v>
      </c>
      <c r="L7" s="33"/>
      <c r="M7" s="33"/>
      <c r="N7" s="33"/>
      <c r="O7" s="33"/>
      <c r="P7" s="32" t="s">
        <v>39</v>
      </c>
      <c r="Q7" s="32" t="s">
        <v>849</v>
      </c>
      <c r="R7" s="42" t="s">
        <v>849</v>
      </c>
      <c r="S7" s="42" t="s">
        <v>32</v>
      </c>
      <c r="T7" s="42" t="s">
        <v>31</v>
      </c>
      <c r="U7" s="34" t="s">
        <v>40</v>
      </c>
      <c r="V7" s="35" t="s">
        <v>41</v>
      </c>
      <c r="W7" s="34">
        <v>1</v>
      </c>
      <c r="X7" s="34"/>
      <c r="Y7" s="34"/>
      <c r="Z7" s="34"/>
      <c r="AA7" s="34">
        <v>0.44999999999999996</v>
      </c>
      <c r="AB7" s="37" t="s">
        <v>17</v>
      </c>
      <c r="AC7" s="34" t="s">
        <v>33</v>
      </c>
      <c r="AD7" s="34" t="s">
        <v>34</v>
      </c>
      <c r="AE7" s="34" t="s">
        <v>20</v>
      </c>
      <c r="AF7" s="34" t="s">
        <v>35</v>
      </c>
      <c r="AG7" s="11"/>
    </row>
    <row r="8" spans="1:33" s="12" customFormat="1" ht="21.95" hidden="1" customHeight="1">
      <c r="A8" s="16">
        <v>7</v>
      </c>
      <c r="B8" s="17">
        <v>12</v>
      </c>
      <c r="C8" s="17">
        <v>23046</v>
      </c>
      <c r="D8" s="17" t="s">
        <v>918</v>
      </c>
      <c r="E8" s="143"/>
      <c r="F8" s="21" t="s">
        <v>918</v>
      </c>
      <c r="G8" s="21" t="e">
        <f>VLOOKUP(P8,'CO F3'!$C$2:$M$108,7,FALSE)</f>
        <v>#N/A</v>
      </c>
      <c r="H8" s="21" t="e">
        <f>VLOOKUP(Q8,'CO F3'!$C$2:$M$108,7,FALSE)</f>
        <v>#N/A</v>
      </c>
      <c r="I8" s="17" t="s">
        <v>697</v>
      </c>
      <c r="J8" s="18"/>
      <c r="K8" s="18"/>
      <c r="L8" s="18" t="s">
        <v>13</v>
      </c>
      <c r="M8" s="18"/>
      <c r="N8" s="18"/>
      <c r="O8" s="18"/>
      <c r="P8" s="17" t="s">
        <v>42</v>
      </c>
      <c r="Q8" s="17" t="s">
        <v>849</v>
      </c>
      <c r="R8" s="40" t="s">
        <v>849</v>
      </c>
      <c r="S8" s="40" t="s">
        <v>32</v>
      </c>
      <c r="T8" s="40" t="s">
        <v>39</v>
      </c>
      <c r="U8" s="19" t="s">
        <v>43</v>
      </c>
      <c r="V8" s="13" t="s">
        <v>24</v>
      </c>
      <c r="W8" s="19">
        <v>1</v>
      </c>
      <c r="X8" s="19" t="s">
        <v>833</v>
      </c>
      <c r="Y8" s="19" t="s">
        <v>38</v>
      </c>
      <c r="Z8" s="19">
        <v>1.99</v>
      </c>
      <c r="AA8" s="19">
        <v>0.36</v>
      </c>
      <c r="AB8" s="37" t="s">
        <v>17</v>
      </c>
      <c r="AC8" s="19" t="s">
        <v>33</v>
      </c>
      <c r="AD8" s="19" t="s">
        <v>34</v>
      </c>
      <c r="AE8" s="19" t="s">
        <v>20</v>
      </c>
      <c r="AF8" s="19" t="s">
        <v>35</v>
      </c>
      <c r="AG8" s="11"/>
    </row>
    <row r="9" spans="1:33" s="12" customFormat="1" ht="21.95" hidden="1" customHeight="1">
      <c r="A9" s="24">
        <v>8</v>
      </c>
      <c r="B9" s="25">
        <v>12</v>
      </c>
      <c r="C9" s="25">
        <v>23046</v>
      </c>
      <c r="D9" s="25" t="s">
        <v>918</v>
      </c>
      <c r="E9" s="144"/>
      <c r="F9" s="21" t="s">
        <v>917</v>
      </c>
      <c r="G9" s="21" t="e">
        <f>VLOOKUP(P9,'CO F3'!$C$2:$M$108,7,FALSE)</f>
        <v>#N/A</v>
      </c>
      <c r="H9" s="21" t="e">
        <f>VLOOKUP(Q9,'CO F3'!$C$2:$M$108,7,FALSE)</f>
        <v>#N/A</v>
      </c>
      <c r="I9" s="25" t="s">
        <v>697</v>
      </c>
      <c r="J9" s="26"/>
      <c r="K9" s="26"/>
      <c r="L9" s="26" t="s">
        <v>13</v>
      </c>
      <c r="M9" s="26"/>
      <c r="N9" s="26"/>
      <c r="O9" s="26"/>
      <c r="P9" s="25">
        <v>7703043166</v>
      </c>
      <c r="Q9" s="25" t="s">
        <v>849</v>
      </c>
      <c r="R9" s="41" t="s">
        <v>849</v>
      </c>
      <c r="S9" s="41" t="s">
        <v>32</v>
      </c>
      <c r="T9" s="41" t="s">
        <v>39</v>
      </c>
      <c r="U9" s="27" t="s">
        <v>44</v>
      </c>
      <c r="V9" s="15" t="s">
        <v>29</v>
      </c>
      <c r="W9" s="27">
        <v>1</v>
      </c>
      <c r="X9" s="27"/>
      <c r="Y9" s="27"/>
      <c r="Z9" s="27"/>
      <c r="AA9" s="27">
        <v>0.09</v>
      </c>
      <c r="AB9" s="38" t="s">
        <v>30</v>
      </c>
      <c r="AC9" s="27" t="s">
        <v>33</v>
      </c>
      <c r="AD9" s="27" t="s">
        <v>34</v>
      </c>
      <c r="AE9" s="27" t="s">
        <v>20</v>
      </c>
      <c r="AF9" s="27" t="s">
        <v>35</v>
      </c>
      <c r="AG9" s="11"/>
    </row>
    <row r="10" spans="1:33" s="12" customFormat="1" ht="21.95" hidden="1" customHeight="1">
      <c r="A10" s="20">
        <v>9</v>
      </c>
      <c r="B10" s="21">
        <v>12</v>
      </c>
      <c r="C10" s="21">
        <v>23046</v>
      </c>
      <c r="D10" s="21" t="s">
        <v>918</v>
      </c>
      <c r="E10" s="142"/>
      <c r="F10" s="21" t="s">
        <v>918</v>
      </c>
      <c r="G10" s="21" t="s">
        <v>918</v>
      </c>
      <c r="H10" s="21" t="s">
        <v>918</v>
      </c>
      <c r="I10" s="21" t="s">
        <v>697</v>
      </c>
      <c r="J10" s="22" t="s">
        <v>13</v>
      </c>
      <c r="K10" s="22"/>
      <c r="L10" s="22"/>
      <c r="M10" s="22"/>
      <c r="N10" s="22"/>
      <c r="O10" s="22"/>
      <c r="P10" s="21" t="s">
        <v>45</v>
      </c>
      <c r="Q10" s="21" t="s">
        <v>861</v>
      </c>
      <c r="R10" s="39" t="s">
        <v>848</v>
      </c>
      <c r="S10" s="39" t="s">
        <v>46</v>
      </c>
      <c r="T10" s="39"/>
      <c r="U10" s="23" t="s">
        <v>46</v>
      </c>
      <c r="V10" s="14" t="s">
        <v>16</v>
      </c>
      <c r="W10" s="23">
        <v>1</v>
      </c>
      <c r="X10" s="23"/>
      <c r="Y10" s="23"/>
      <c r="Z10" s="23"/>
      <c r="AA10" s="23">
        <v>0.85899999999999999</v>
      </c>
      <c r="AB10" s="37" t="s">
        <v>17</v>
      </c>
      <c r="AC10" s="23" t="s">
        <v>33</v>
      </c>
      <c r="AD10" s="23" t="s">
        <v>19</v>
      </c>
      <c r="AE10" s="23" t="s">
        <v>20</v>
      </c>
      <c r="AF10" s="23" t="s">
        <v>35</v>
      </c>
      <c r="AG10" s="11"/>
    </row>
    <row r="11" spans="1:33" s="12" customFormat="1" ht="21.95" hidden="1" customHeight="1">
      <c r="A11" s="16">
        <v>10</v>
      </c>
      <c r="B11" s="17">
        <v>12</v>
      </c>
      <c r="C11" s="17">
        <v>23046</v>
      </c>
      <c r="D11" s="17" t="s">
        <v>918</v>
      </c>
      <c r="E11" s="143"/>
      <c r="F11" s="21" t="s">
        <v>918</v>
      </c>
      <c r="G11" s="21" t="e">
        <f>VLOOKUP(P11,'CO F3'!$C$2:$M$108,7,FALSE)</f>
        <v>#N/A</v>
      </c>
      <c r="H11" s="21" t="e">
        <f>VLOOKUP(Q11,'CO F3'!$C$2:$M$108,7,FALSE)</f>
        <v>#N/A</v>
      </c>
      <c r="I11" s="17" t="s">
        <v>697</v>
      </c>
      <c r="J11" s="18"/>
      <c r="K11" s="18" t="s">
        <v>13</v>
      </c>
      <c r="L11" s="18"/>
      <c r="M11" s="18"/>
      <c r="N11" s="18"/>
      <c r="O11" s="18"/>
      <c r="P11" s="17" t="s">
        <v>47</v>
      </c>
      <c r="Q11" s="17" t="s">
        <v>863</v>
      </c>
      <c r="R11" s="40" t="s">
        <v>851</v>
      </c>
      <c r="S11" s="40" t="s">
        <v>46</v>
      </c>
      <c r="T11" s="40" t="s">
        <v>45</v>
      </c>
      <c r="U11" s="19" t="s">
        <v>48</v>
      </c>
      <c r="V11" s="13" t="s">
        <v>24</v>
      </c>
      <c r="W11" s="19">
        <v>1</v>
      </c>
      <c r="X11" s="19" t="s">
        <v>833</v>
      </c>
      <c r="Y11" s="19" t="s">
        <v>38</v>
      </c>
      <c r="Z11" s="19">
        <v>1.99</v>
      </c>
      <c r="AA11" s="19">
        <v>0.40899999999999997</v>
      </c>
      <c r="AB11" s="37" t="s">
        <v>17</v>
      </c>
      <c r="AC11" s="19" t="s">
        <v>33</v>
      </c>
      <c r="AD11" s="19" t="s">
        <v>19</v>
      </c>
      <c r="AE11" s="19" t="s">
        <v>20</v>
      </c>
      <c r="AF11" s="19" t="s">
        <v>35</v>
      </c>
      <c r="AG11" s="11"/>
    </row>
    <row r="12" spans="1:33" s="12" customFormat="1" ht="21.95" hidden="1" customHeight="1">
      <c r="A12" s="31">
        <v>11</v>
      </c>
      <c r="B12" s="32">
        <v>12</v>
      </c>
      <c r="C12" s="32">
        <v>23046</v>
      </c>
      <c r="D12" s="32" t="s">
        <v>918</v>
      </c>
      <c r="E12" s="145"/>
      <c r="F12" s="21" t="s">
        <v>918</v>
      </c>
      <c r="G12" s="21" t="e">
        <f>VLOOKUP(P12,'CO F3'!$C$2:$M$108,7,FALSE)</f>
        <v>#N/A</v>
      </c>
      <c r="H12" s="21" t="e">
        <f>VLOOKUP(Q12,'CO F3'!$C$2:$M$108,7,FALSE)</f>
        <v>#N/A</v>
      </c>
      <c r="I12" s="32" t="s">
        <v>697</v>
      </c>
      <c r="J12" s="33"/>
      <c r="K12" s="33" t="s">
        <v>13</v>
      </c>
      <c r="L12" s="33"/>
      <c r="M12" s="33"/>
      <c r="N12" s="33"/>
      <c r="O12" s="33"/>
      <c r="P12" s="32" t="s">
        <v>49</v>
      </c>
      <c r="Q12" s="32" t="s">
        <v>849</v>
      </c>
      <c r="R12" s="42" t="s">
        <v>849</v>
      </c>
      <c r="S12" s="42" t="s">
        <v>46</v>
      </c>
      <c r="T12" s="42" t="s">
        <v>45</v>
      </c>
      <c r="U12" s="34" t="s">
        <v>50</v>
      </c>
      <c r="V12" s="35" t="s">
        <v>41</v>
      </c>
      <c r="W12" s="34">
        <v>1</v>
      </c>
      <c r="X12" s="34"/>
      <c r="Y12" s="34"/>
      <c r="Z12" s="34"/>
      <c r="AA12" s="34">
        <v>0.44999999999999996</v>
      </c>
      <c r="AB12" s="37" t="s">
        <v>17</v>
      </c>
      <c r="AC12" s="34" t="s">
        <v>33</v>
      </c>
      <c r="AD12" s="34" t="s">
        <v>19</v>
      </c>
      <c r="AE12" s="34" t="s">
        <v>20</v>
      </c>
      <c r="AF12" s="34" t="s">
        <v>35</v>
      </c>
      <c r="AG12" s="11"/>
    </row>
    <row r="13" spans="1:33" s="12" customFormat="1" ht="21.95" hidden="1" customHeight="1">
      <c r="A13" s="16">
        <v>12</v>
      </c>
      <c r="B13" s="17">
        <v>12</v>
      </c>
      <c r="C13" s="17">
        <v>23046</v>
      </c>
      <c r="D13" s="17" t="s">
        <v>918</v>
      </c>
      <c r="E13" s="143"/>
      <c r="F13" s="21" t="s">
        <v>918</v>
      </c>
      <c r="G13" s="21" t="e">
        <f>VLOOKUP(P13,'CO F3'!$C$2:$M$108,7,FALSE)</f>
        <v>#N/A</v>
      </c>
      <c r="H13" s="21" t="e">
        <f>VLOOKUP(Q13,'CO F3'!$C$2:$M$108,7,FALSE)</f>
        <v>#N/A</v>
      </c>
      <c r="I13" s="17" t="s">
        <v>697</v>
      </c>
      <c r="J13" s="18"/>
      <c r="K13" s="18"/>
      <c r="L13" s="18" t="s">
        <v>13</v>
      </c>
      <c r="M13" s="18"/>
      <c r="N13" s="18"/>
      <c r="O13" s="18"/>
      <c r="P13" s="17" t="s">
        <v>51</v>
      </c>
      <c r="Q13" s="17" t="s">
        <v>863</v>
      </c>
      <c r="R13" s="40" t="s">
        <v>851</v>
      </c>
      <c r="S13" s="40" t="s">
        <v>46</v>
      </c>
      <c r="T13" s="40" t="s">
        <v>49</v>
      </c>
      <c r="U13" s="19" t="s">
        <v>52</v>
      </c>
      <c r="V13" s="13" t="s">
        <v>24</v>
      </c>
      <c r="W13" s="19">
        <v>1</v>
      </c>
      <c r="X13" s="19" t="s">
        <v>833</v>
      </c>
      <c r="Y13" s="19" t="s">
        <v>38</v>
      </c>
      <c r="Z13" s="19">
        <v>1.99</v>
      </c>
      <c r="AA13" s="19">
        <v>0.36</v>
      </c>
      <c r="AB13" s="37" t="s">
        <v>17</v>
      </c>
      <c r="AC13" s="19" t="s">
        <v>33</v>
      </c>
      <c r="AD13" s="19" t="s">
        <v>19</v>
      </c>
      <c r="AE13" s="19" t="s">
        <v>20</v>
      </c>
      <c r="AF13" s="19" t="s">
        <v>35</v>
      </c>
      <c r="AG13" s="11"/>
    </row>
    <row r="14" spans="1:33" s="12" customFormat="1" ht="21.95" hidden="1" customHeight="1">
      <c r="A14" s="24">
        <v>13</v>
      </c>
      <c r="B14" s="25">
        <v>12</v>
      </c>
      <c r="C14" s="25">
        <v>23046</v>
      </c>
      <c r="D14" s="25" t="s">
        <v>918</v>
      </c>
      <c r="E14" s="144"/>
      <c r="F14" s="21" t="s">
        <v>917</v>
      </c>
      <c r="G14" s="21" t="e">
        <f>VLOOKUP(P14,'CO F3'!$C$2:$M$108,7,FALSE)</f>
        <v>#N/A</v>
      </c>
      <c r="H14" s="21" t="e">
        <f>VLOOKUP(Q14,'CO F3'!$C$2:$M$108,7,FALSE)</f>
        <v>#N/A</v>
      </c>
      <c r="I14" s="25" t="s">
        <v>697</v>
      </c>
      <c r="J14" s="26"/>
      <c r="K14" s="26"/>
      <c r="L14" s="26" t="s">
        <v>13</v>
      </c>
      <c r="M14" s="26"/>
      <c r="N14" s="26"/>
      <c r="O14" s="26"/>
      <c r="P14" s="25">
        <v>7703043166</v>
      </c>
      <c r="Q14" s="25" t="s">
        <v>849</v>
      </c>
      <c r="R14" s="41" t="s">
        <v>849</v>
      </c>
      <c r="S14" s="41" t="s">
        <v>46</v>
      </c>
      <c r="T14" s="41" t="s">
        <v>49</v>
      </c>
      <c r="U14" s="27" t="s">
        <v>44</v>
      </c>
      <c r="V14" s="15" t="s">
        <v>29</v>
      </c>
      <c r="W14" s="27">
        <v>1</v>
      </c>
      <c r="X14" s="27"/>
      <c r="Y14" s="27"/>
      <c r="Z14" s="27"/>
      <c r="AA14" s="27">
        <v>0.09</v>
      </c>
      <c r="AB14" s="38" t="s">
        <v>30</v>
      </c>
      <c r="AC14" s="27" t="s">
        <v>33</v>
      </c>
      <c r="AD14" s="27" t="s">
        <v>19</v>
      </c>
      <c r="AE14" s="27" t="s">
        <v>20</v>
      </c>
      <c r="AF14" s="27" t="s">
        <v>35</v>
      </c>
      <c r="AG14" s="11"/>
    </row>
    <row r="15" spans="1:33" s="12" customFormat="1" ht="21.95" hidden="1" customHeight="1">
      <c r="A15" s="20">
        <v>14</v>
      </c>
      <c r="B15" s="21">
        <v>12</v>
      </c>
      <c r="C15" s="21">
        <v>26303</v>
      </c>
      <c r="D15" s="21" t="s">
        <v>918</v>
      </c>
      <c r="E15" s="142"/>
      <c r="F15" s="21" t="s">
        <v>918</v>
      </c>
      <c r="G15" s="21" t="s">
        <v>918</v>
      </c>
      <c r="H15" s="21" t="s">
        <v>918</v>
      </c>
      <c r="I15" s="21" t="s">
        <v>697</v>
      </c>
      <c r="J15" s="22" t="s">
        <v>13</v>
      </c>
      <c r="K15" s="22"/>
      <c r="L15" s="22"/>
      <c r="M15" s="22"/>
      <c r="N15" s="22"/>
      <c r="O15" s="22"/>
      <c r="P15" s="21" t="s">
        <v>53</v>
      </c>
      <c r="Q15" s="77" t="s">
        <v>861</v>
      </c>
      <c r="R15" s="209" t="s">
        <v>847</v>
      </c>
      <c r="S15" s="39" t="s">
        <v>54</v>
      </c>
      <c r="T15" s="39"/>
      <c r="U15" s="23" t="s">
        <v>54</v>
      </c>
      <c r="V15" s="14" t="s">
        <v>16</v>
      </c>
      <c r="W15" s="23">
        <v>1</v>
      </c>
      <c r="X15" s="23"/>
      <c r="Y15" s="23"/>
      <c r="Z15" s="23"/>
      <c r="AA15" s="23">
        <v>5.8690000000000015</v>
      </c>
      <c r="AB15" s="37" t="s">
        <v>17</v>
      </c>
      <c r="AC15" s="23" t="s">
        <v>55</v>
      </c>
      <c r="AD15" s="23" t="s">
        <v>19</v>
      </c>
      <c r="AE15" s="23" t="s">
        <v>20</v>
      </c>
      <c r="AF15" s="23" t="s">
        <v>56</v>
      </c>
      <c r="AG15" s="11"/>
    </row>
    <row r="16" spans="1:33" s="12" customFormat="1" ht="21.95" hidden="1" customHeight="1">
      <c r="A16" s="24">
        <v>15</v>
      </c>
      <c r="B16" s="25">
        <v>12</v>
      </c>
      <c r="C16" s="25">
        <v>26303</v>
      </c>
      <c r="D16" s="25" t="s">
        <v>918</v>
      </c>
      <c r="E16" s="144"/>
      <c r="F16" s="21" t="s">
        <v>917</v>
      </c>
      <c r="G16" s="21" t="e">
        <f>VLOOKUP(P16,'CO F3'!$C$2:$M$108,7,FALSE)</f>
        <v>#N/A</v>
      </c>
      <c r="H16" s="21" t="e">
        <f>VLOOKUP(Q16,'CO F3'!$C$2:$M$108,7,FALSE)</f>
        <v>#N/A</v>
      </c>
      <c r="I16" s="25" t="s">
        <v>697</v>
      </c>
      <c r="J16" s="26"/>
      <c r="K16" s="26" t="s">
        <v>13</v>
      </c>
      <c r="L16" s="26"/>
      <c r="M16" s="26"/>
      <c r="N16" s="26"/>
      <c r="O16" s="26"/>
      <c r="P16" s="25">
        <v>7703072426</v>
      </c>
      <c r="Q16" s="25" t="s">
        <v>849</v>
      </c>
      <c r="R16" s="41" t="s">
        <v>849</v>
      </c>
      <c r="S16" s="41" t="s">
        <v>54</v>
      </c>
      <c r="T16" s="41" t="s">
        <v>53</v>
      </c>
      <c r="U16" s="27" t="s">
        <v>57</v>
      </c>
      <c r="V16" s="15" t="s">
        <v>29</v>
      </c>
      <c r="W16" s="27">
        <v>13</v>
      </c>
      <c r="X16" s="27"/>
      <c r="Y16" s="27"/>
      <c r="Z16" s="27"/>
      <c r="AA16" s="27">
        <v>5.2000000000000005E-2</v>
      </c>
      <c r="AB16" s="38" t="s">
        <v>30</v>
      </c>
      <c r="AC16" s="27" t="s">
        <v>55</v>
      </c>
      <c r="AD16" s="27" t="s">
        <v>19</v>
      </c>
      <c r="AE16" s="27" t="s">
        <v>20</v>
      </c>
      <c r="AF16" s="27" t="s">
        <v>56</v>
      </c>
      <c r="AG16" s="11"/>
    </row>
    <row r="17" spans="1:33" s="12" customFormat="1" ht="21.95" hidden="1" customHeight="1">
      <c r="A17" s="16">
        <v>16</v>
      </c>
      <c r="B17" s="17">
        <v>12</v>
      </c>
      <c r="C17" s="17">
        <v>26303</v>
      </c>
      <c r="D17" s="17" t="s">
        <v>918</v>
      </c>
      <c r="E17" s="143"/>
      <c r="F17" s="21" t="s">
        <v>891</v>
      </c>
      <c r="G17" s="21" t="str">
        <f>VLOOKUP(P17,'CO F3'!$C$2:$M$108,7,FALSE)</f>
        <v>SC SILDVB COM SA</v>
      </c>
      <c r="H17" s="21" t="e">
        <f>VLOOKUP(Q17,'CO F3'!$C$2:$M$108,7,FALSE)</f>
        <v>#N/A</v>
      </c>
      <c r="I17" s="17" t="s">
        <v>697</v>
      </c>
      <c r="J17" s="18"/>
      <c r="K17" s="18" t="s">
        <v>13</v>
      </c>
      <c r="L17" s="18"/>
      <c r="M17" s="18"/>
      <c r="N17" s="18"/>
      <c r="O17" s="18"/>
      <c r="P17" s="17" t="s">
        <v>58</v>
      </c>
      <c r="Q17" s="17" t="s">
        <v>863</v>
      </c>
      <c r="R17" s="40" t="s">
        <v>848</v>
      </c>
      <c r="S17" s="40" t="s">
        <v>54</v>
      </c>
      <c r="T17" s="40" t="s">
        <v>53</v>
      </c>
      <c r="U17" s="19" t="s">
        <v>59</v>
      </c>
      <c r="V17" s="13" t="s">
        <v>24</v>
      </c>
      <c r="W17" s="19">
        <v>1</v>
      </c>
      <c r="X17" s="19" t="s">
        <v>60</v>
      </c>
      <c r="Y17" s="19" t="s">
        <v>61</v>
      </c>
      <c r="Z17" s="19">
        <v>1.5</v>
      </c>
      <c r="AA17" s="19">
        <v>0.05</v>
      </c>
      <c r="AB17" s="38" t="s">
        <v>30</v>
      </c>
      <c r="AC17" s="19" t="s">
        <v>55</v>
      </c>
      <c r="AD17" s="19" t="s">
        <v>19</v>
      </c>
      <c r="AE17" s="19" t="s">
        <v>20</v>
      </c>
      <c r="AF17" s="19" t="s">
        <v>56</v>
      </c>
      <c r="AG17" s="11"/>
    </row>
    <row r="18" spans="1:33" s="12" customFormat="1" ht="21.95" hidden="1" customHeight="1">
      <c r="A18" s="16">
        <v>17</v>
      </c>
      <c r="B18" s="17">
        <v>12</v>
      </c>
      <c r="C18" s="17">
        <v>26303</v>
      </c>
      <c r="D18" s="17" t="s">
        <v>918</v>
      </c>
      <c r="E18" s="143"/>
      <c r="F18" s="21" t="s">
        <v>891</v>
      </c>
      <c r="G18" s="21" t="str">
        <f>VLOOKUP(P18,'CO F3'!$C$2:$M$108,7,FALSE)</f>
        <v>SC SILDVB COM SA</v>
      </c>
      <c r="H18" s="21" t="e">
        <f>VLOOKUP(Q18,'CO F3'!$C$2:$M$108,7,FALSE)</f>
        <v>#N/A</v>
      </c>
      <c r="I18" s="17" t="s">
        <v>697</v>
      </c>
      <c r="J18" s="18"/>
      <c r="K18" s="18" t="s">
        <v>13</v>
      </c>
      <c r="L18" s="18"/>
      <c r="M18" s="18"/>
      <c r="N18" s="18"/>
      <c r="O18" s="18"/>
      <c r="P18" s="19" t="s">
        <v>62</v>
      </c>
      <c r="Q18" s="17" t="s">
        <v>864</v>
      </c>
      <c r="R18" s="40" t="s">
        <v>852</v>
      </c>
      <c r="S18" s="40" t="s">
        <v>54</v>
      </c>
      <c r="T18" s="40" t="s">
        <v>53</v>
      </c>
      <c r="U18" s="19" t="s">
        <v>59</v>
      </c>
      <c r="V18" s="13" t="s">
        <v>24</v>
      </c>
      <c r="W18" s="19">
        <v>1</v>
      </c>
      <c r="X18" s="19" t="s">
        <v>60</v>
      </c>
      <c r="Y18" s="19" t="s">
        <v>61</v>
      </c>
      <c r="Z18" s="19">
        <v>1.5</v>
      </c>
      <c r="AA18" s="19">
        <v>0.05</v>
      </c>
      <c r="AB18" s="38" t="s">
        <v>30</v>
      </c>
      <c r="AC18" s="19" t="s">
        <v>55</v>
      </c>
      <c r="AD18" s="19" t="s">
        <v>19</v>
      </c>
      <c r="AE18" s="19" t="s">
        <v>20</v>
      </c>
      <c r="AF18" s="19" t="s">
        <v>56</v>
      </c>
      <c r="AG18" s="11"/>
    </row>
    <row r="19" spans="1:33" s="12" customFormat="1" ht="21.95" hidden="1" customHeight="1">
      <c r="A19" s="16">
        <v>18</v>
      </c>
      <c r="B19" s="17">
        <v>12</v>
      </c>
      <c r="C19" s="17">
        <v>26303</v>
      </c>
      <c r="D19" s="17" t="s">
        <v>918</v>
      </c>
      <c r="E19" s="143"/>
      <c r="F19" s="21" t="s">
        <v>891</v>
      </c>
      <c r="G19" s="21" t="str">
        <f>VLOOKUP(P19,'CO F3'!$C$2:$M$108,7,FALSE)</f>
        <v>SC SILDVB COM SA</v>
      </c>
      <c r="H19" s="21" t="e">
        <f>VLOOKUP(Q19,'CO F3'!$C$2:$M$108,7,FALSE)</f>
        <v>#N/A</v>
      </c>
      <c r="I19" s="17" t="s">
        <v>697</v>
      </c>
      <c r="J19" s="18"/>
      <c r="K19" s="18" t="s">
        <v>13</v>
      </c>
      <c r="L19" s="18"/>
      <c r="M19" s="18"/>
      <c r="N19" s="18"/>
      <c r="O19" s="18"/>
      <c r="P19" s="19" t="s">
        <v>63</v>
      </c>
      <c r="Q19" s="17" t="s">
        <v>863</v>
      </c>
      <c r="R19" s="40" t="s">
        <v>851</v>
      </c>
      <c r="S19" s="40" t="s">
        <v>54</v>
      </c>
      <c r="T19" s="40" t="s">
        <v>53</v>
      </c>
      <c r="U19" s="19" t="s">
        <v>59</v>
      </c>
      <c r="V19" s="13" t="s">
        <v>24</v>
      </c>
      <c r="W19" s="19">
        <v>1</v>
      </c>
      <c r="X19" s="19" t="s">
        <v>60</v>
      </c>
      <c r="Y19" s="19" t="s">
        <v>61</v>
      </c>
      <c r="Z19" s="19">
        <v>1.5</v>
      </c>
      <c r="AA19" s="19">
        <v>7.0000000000000007E-2</v>
      </c>
      <c r="AB19" s="38" t="s">
        <v>30</v>
      </c>
      <c r="AC19" s="19" t="s">
        <v>55</v>
      </c>
      <c r="AD19" s="19" t="s">
        <v>19</v>
      </c>
      <c r="AE19" s="19" t="s">
        <v>20</v>
      </c>
      <c r="AF19" s="19" t="s">
        <v>56</v>
      </c>
      <c r="AG19" s="11"/>
    </row>
    <row r="20" spans="1:33" s="12" customFormat="1" ht="21.95" hidden="1" customHeight="1">
      <c r="A20" s="16">
        <v>19</v>
      </c>
      <c r="B20" s="17">
        <v>12</v>
      </c>
      <c r="C20" s="17">
        <v>26303</v>
      </c>
      <c r="D20" s="17" t="s">
        <v>918</v>
      </c>
      <c r="E20" s="143"/>
      <c r="F20" s="21" t="s">
        <v>896</v>
      </c>
      <c r="G20" s="21" t="str">
        <f>VLOOKUP(P20,'CO F3'!$C$2:$M$108,7,FALSE)</f>
        <v>CURITIBA plant</v>
      </c>
      <c r="H20" s="21" t="e">
        <f>VLOOKUP(Q20,'CO F3'!$C$2:$M$108,7,FALSE)</f>
        <v>#N/A</v>
      </c>
      <c r="I20" s="17" t="s">
        <v>697</v>
      </c>
      <c r="J20" s="18"/>
      <c r="K20" s="18" t="s">
        <v>13</v>
      </c>
      <c r="L20" s="18"/>
      <c r="M20" s="18"/>
      <c r="N20" s="18"/>
      <c r="O20" s="18"/>
      <c r="P20" s="19" t="s">
        <v>64</v>
      </c>
      <c r="Q20" s="17" t="s">
        <v>861</v>
      </c>
      <c r="R20" s="40" t="s">
        <v>848</v>
      </c>
      <c r="S20" s="40" t="s">
        <v>54</v>
      </c>
      <c r="T20" s="40" t="s">
        <v>53</v>
      </c>
      <c r="U20" s="19" t="s">
        <v>65</v>
      </c>
      <c r="V20" s="13" t="s">
        <v>24</v>
      </c>
      <c r="W20" s="19">
        <v>1</v>
      </c>
      <c r="X20" s="19" t="s">
        <v>199</v>
      </c>
      <c r="Y20" s="19" t="s">
        <v>38</v>
      </c>
      <c r="Z20" s="19">
        <v>0.79</v>
      </c>
      <c r="AA20" s="19">
        <v>4.58</v>
      </c>
      <c r="AB20" s="38" t="s">
        <v>30</v>
      </c>
      <c r="AC20" s="19" t="s">
        <v>55</v>
      </c>
      <c r="AD20" s="19" t="s">
        <v>19</v>
      </c>
      <c r="AE20" s="19" t="s">
        <v>20</v>
      </c>
      <c r="AF20" s="19" t="s">
        <v>56</v>
      </c>
      <c r="AG20" s="11"/>
    </row>
    <row r="21" spans="1:33" s="12" customFormat="1" ht="21.95" hidden="1" customHeight="1">
      <c r="A21" s="16">
        <v>20</v>
      </c>
      <c r="B21" s="17">
        <v>12</v>
      </c>
      <c r="C21" s="17">
        <v>26303</v>
      </c>
      <c r="D21" s="17" t="s">
        <v>918</v>
      </c>
      <c r="E21" s="143"/>
      <c r="F21" s="21" t="s">
        <v>892</v>
      </c>
      <c r="G21" s="21" t="str">
        <f>VLOOKUP(P21,'CO F3'!$C$2:$M$108,7,FALSE)</f>
        <v>MUSA PITESTI ROMANIA</v>
      </c>
      <c r="H21" s="21" t="e">
        <f>VLOOKUP(Q21,'CO F3'!$C$2:$M$108,7,FALSE)</f>
        <v>#N/A</v>
      </c>
      <c r="I21" s="17" t="s">
        <v>697</v>
      </c>
      <c r="J21" s="18"/>
      <c r="K21" s="18" t="s">
        <v>13</v>
      </c>
      <c r="L21" s="18"/>
      <c r="M21" s="18"/>
      <c r="N21" s="18"/>
      <c r="O21" s="18"/>
      <c r="P21" s="19" t="s">
        <v>66</v>
      </c>
      <c r="Q21" s="17" t="s">
        <v>861</v>
      </c>
      <c r="R21" s="40" t="s">
        <v>852</v>
      </c>
      <c r="S21" s="40" t="s">
        <v>54</v>
      </c>
      <c r="T21" s="40" t="s">
        <v>53</v>
      </c>
      <c r="U21" s="19" t="s">
        <v>67</v>
      </c>
      <c r="V21" s="13" t="s">
        <v>24</v>
      </c>
      <c r="W21" s="19">
        <v>1</v>
      </c>
      <c r="X21" s="19" t="s">
        <v>68</v>
      </c>
      <c r="Y21" s="19" t="s">
        <v>38</v>
      </c>
      <c r="Z21" s="19">
        <v>1.2</v>
      </c>
      <c r="AA21" s="19">
        <v>7.4999999999999997E-2</v>
      </c>
      <c r="AB21" s="38" t="s">
        <v>30</v>
      </c>
      <c r="AC21" s="19" t="s">
        <v>55</v>
      </c>
      <c r="AD21" s="19" t="s">
        <v>19</v>
      </c>
      <c r="AE21" s="19" t="s">
        <v>20</v>
      </c>
      <c r="AF21" s="19" t="s">
        <v>56</v>
      </c>
      <c r="AG21" s="11"/>
    </row>
    <row r="22" spans="1:33" s="12" customFormat="1" ht="21.95" hidden="1" customHeight="1">
      <c r="A22" s="16">
        <v>21</v>
      </c>
      <c r="B22" s="17">
        <v>12</v>
      </c>
      <c r="C22" s="17">
        <v>26303</v>
      </c>
      <c r="D22" s="17" t="s">
        <v>918</v>
      </c>
      <c r="E22" s="143"/>
      <c r="F22" s="21" t="s">
        <v>892</v>
      </c>
      <c r="G22" s="21" t="str">
        <f>VLOOKUP(P22,'CO F3'!$C$2:$M$108,7,FALSE)</f>
        <v>MUSA PITESTI ROMANIA</v>
      </c>
      <c r="H22" s="21" t="e">
        <f>VLOOKUP(Q22,'CO F3'!$C$2:$M$108,7,FALSE)</f>
        <v>#N/A</v>
      </c>
      <c r="I22" s="17" t="s">
        <v>697</v>
      </c>
      <c r="J22" s="18"/>
      <c r="K22" s="18" t="s">
        <v>13</v>
      </c>
      <c r="L22" s="18"/>
      <c r="M22" s="18"/>
      <c r="N22" s="18"/>
      <c r="O22" s="18"/>
      <c r="P22" s="17" t="s">
        <v>69</v>
      </c>
      <c r="Q22" s="17" t="s">
        <v>861</v>
      </c>
      <c r="R22" s="40" t="s">
        <v>852</v>
      </c>
      <c r="S22" s="40" t="s">
        <v>54</v>
      </c>
      <c r="T22" s="40" t="s">
        <v>53</v>
      </c>
      <c r="U22" s="19" t="s">
        <v>70</v>
      </c>
      <c r="V22" s="13" t="s">
        <v>24</v>
      </c>
      <c r="W22" s="19">
        <v>1</v>
      </c>
      <c r="X22" s="19" t="s">
        <v>68</v>
      </c>
      <c r="Y22" s="19" t="s">
        <v>38</v>
      </c>
      <c r="Z22" s="19">
        <v>1.2</v>
      </c>
      <c r="AA22" s="19">
        <v>7.4999999999999997E-2</v>
      </c>
      <c r="AB22" s="38" t="s">
        <v>30</v>
      </c>
      <c r="AC22" s="19" t="s">
        <v>55</v>
      </c>
      <c r="AD22" s="19" t="s">
        <v>19</v>
      </c>
      <c r="AE22" s="19" t="s">
        <v>20</v>
      </c>
      <c r="AF22" s="19" t="s">
        <v>56</v>
      </c>
      <c r="AG22" s="11"/>
    </row>
    <row r="23" spans="1:33" s="12" customFormat="1" ht="21.95" hidden="1" customHeight="1">
      <c r="A23" s="31">
        <v>22</v>
      </c>
      <c r="B23" s="32">
        <v>12</v>
      </c>
      <c r="C23" s="32">
        <v>26303</v>
      </c>
      <c r="D23" s="32" t="s">
        <v>918</v>
      </c>
      <c r="E23" s="145">
        <v>611877</v>
      </c>
      <c r="F23" s="21" t="s">
        <v>924</v>
      </c>
      <c r="G23" s="21" t="str">
        <f>VLOOKUP(P23,'CO F3'!$C$2:$M$108,7,FALSE)</f>
        <v>SC SILDVB COM SA</v>
      </c>
      <c r="H23" s="21" t="e">
        <f>VLOOKUP(Q23,'CO F3'!$C$2:$M$108,7,FALSE)</f>
        <v>#N/A</v>
      </c>
      <c r="I23" s="32" t="s">
        <v>697</v>
      </c>
      <c r="J23" s="33"/>
      <c r="K23" s="33" t="s">
        <v>13</v>
      </c>
      <c r="L23" s="33"/>
      <c r="M23" s="33"/>
      <c r="N23" s="33"/>
      <c r="O23" s="33"/>
      <c r="P23" s="32" t="s">
        <v>71</v>
      </c>
      <c r="Q23" s="32" t="s">
        <v>849</v>
      </c>
      <c r="R23" s="42" t="s">
        <v>849</v>
      </c>
      <c r="S23" s="42" t="s">
        <v>54</v>
      </c>
      <c r="T23" s="42" t="s">
        <v>53</v>
      </c>
      <c r="U23" s="34" t="s">
        <v>72</v>
      </c>
      <c r="V23" s="35" t="s">
        <v>41</v>
      </c>
      <c r="W23" s="34">
        <v>1</v>
      </c>
      <c r="X23" s="34"/>
      <c r="Y23" s="34"/>
      <c r="Z23" s="34"/>
      <c r="AA23" s="34"/>
      <c r="AB23" s="38" t="s">
        <v>30</v>
      </c>
      <c r="AC23" s="34" t="s">
        <v>55</v>
      </c>
      <c r="AD23" s="34" t="s">
        <v>19</v>
      </c>
      <c r="AE23" s="34" t="s">
        <v>20</v>
      </c>
      <c r="AF23" s="34" t="s">
        <v>56</v>
      </c>
      <c r="AG23" s="11"/>
    </row>
    <row r="24" spans="1:33" s="12" customFormat="1" ht="21.95" hidden="1" customHeight="1">
      <c r="A24" s="16">
        <v>23</v>
      </c>
      <c r="B24" s="17">
        <v>12</v>
      </c>
      <c r="C24" s="17">
        <v>26303</v>
      </c>
      <c r="D24" s="17" t="s">
        <v>918</v>
      </c>
      <c r="E24" s="143">
        <v>611877</v>
      </c>
      <c r="F24" s="21" t="s">
        <v>924</v>
      </c>
      <c r="G24" s="21" t="e">
        <f>VLOOKUP(P24,'CO F3'!$C$2:$M$108,7,FALSE)</f>
        <v>#N/A</v>
      </c>
      <c r="H24" s="21" t="e">
        <f>VLOOKUP(Q24,'CO F3'!$C$2:$M$108,7,FALSE)</f>
        <v>#N/A</v>
      </c>
      <c r="I24" s="17" t="s">
        <v>697</v>
      </c>
      <c r="J24" s="18"/>
      <c r="K24" s="18"/>
      <c r="L24" s="18" t="s">
        <v>13</v>
      </c>
      <c r="M24" s="18"/>
      <c r="N24" s="18"/>
      <c r="O24" s="18"/>
      <c r="P24" s="17" t="s">
        <v>73</v>
      </c>
      <c r="Q24" s="17" t="s">
        <v>861</v>
      </c>
      <c r="R24" s="40" t="s">
        <v>848</v>
      </c>
      <c r="S24" s="40" t="s">
        <v>54</v>
      </c>
      <c r="T24" s="40" t="s">
        <v>71</v>
      </c>
      <c r="U24" s="19" t="s">
        <v>74</v>
      </c>
      <c r="V24" s="13" t="s">
        <v>24</v>
      </c>
      <c r="W24" s="19">
        <v>1</v>
      </c>
      <c r="X24" s="19" t="s">
        <v>199</v>
      </c>
      <c r="Y24" s="19" t="s">
        <v>38</v>
      </c>
      <c r="Z24" s="19">
        <v>1.46</v>
      </c>
      <c r="AA24" s="19">
        <v>7.0000000000000007E-2</v>
      </c>
      <c r="AB24" s="38" t="s">
        <v>30</v>
      </c>
      <c r="AC24" s="19" t="s">
        <v>55</v>
      </c>
      <c r="AD24" s="19" t="s">
        <v>19</v>
      </c>
      <c r="AE24" s="19" t="s">
        <v>20</v>
      </c>
      <c r="AF24" s="19" t="s">
        <v>56</v>
      </c>
      <c r="AG24" s="11"/>
    </row>
    <row r="25" spans="1:33" s="12" customFormat="1" ht="21.95" hidden="1" customHeight="1">
      <c r="A25" s="24">
        <v>24</v>
      </c>
      <c r="B25" s="25">
        <v>12</v>
      </c>
      <c r="C25" s="25">
        <v>26303</v>
      </c>
      <c r="D25" s="25" t="s">
        <v>918</v>
      </c>
      <c r="E25" s="144">
        <v>611877</v>
      </c>
      <c r="F25" s="21" t="s">
        <v>924</v>
      </c>
      <c r="G25" s="21" t="e">
        <f>VLOOKUP(P25,'CO F3'!$C$2:$M$108,7,FALSE)</f>
        <v>#N/A</v>
      </c>
      <c r="H25" s="21" t="e">
        <f>VLOOKUP(Q25,'CO F3'!$C$2:$M$108,7,FALSE)</f>
        <v>#N/A</v>
      </c>
      <c r="I25" s="25" t="s">
        <v>697</v>
      </c>
      <c r="J25" s="26"/>
      <c r="K25" s="26"/>
      <c r="L25" s="26" t="s">
        <v>13</v>
      </c>
      <c r="M25" s="26"/>
      <c r="N25" s="26"/>
      <c r="O25" s="26"/>
      <c r="P25" s="25">
        <v>7703042086</v>
      </c>
      <c r="Q25" s="25" t="s">
        <v>865</v>
      </c>
      <c r="R25" s="41" t="s">
        <v>847</v>
      </c>
      <c r="S25" s="41" t="s">
        <v>54</v>
      </c>
      <c r="T25" s="41" t="s">
        <v>71</v>
      </c>
      <c r="U25" s="27" t="s">
        <v>75</v>
      </c>
      <c r="V25" s="15" t="s">
        <v>29</v>
      </c>
      <c r="W25" s="27">
        <v>1</v>
      </c>
      <c r="X25" s="27"/>
      <c r="Y25" s="27"/>
      <c r="Z25" s="27"/>
      <c r="AA25" s="27">
        <v>6.0000000000000001E-3</v>
      </c>
      <c r="AB25" s="38" t="s">
        <v>30</v>
      </c>
      <c r="AC25" s="27" t="s">
        <v>55</v>
      </c>
      <c r="AD25" s="27" t="s">
        <v>19</v>
      </c>
      <c r="AE25" s="27" t="s">
        <v>20</v>
      </c>
      <c r="AF25" s="27" t="s">
        <v>56</v>
      </c>
      <c r="AG25" s="11"/>
    </row>
    <row r="26" spans="1:33" s="12" customFormat="1" ht="21.95" hidden="1" customHeight="1">
      <c r="A26" s="31">
        <v>25</v>
      </c>
      <c r="B26" s="32">
        <v>12</v>
      </c>
      <c r="C26" s="32">
        <v>26303</v>
      </c>
      <c r="D26" s="32" t="s">
        <v>918</v>
      </c>
      <c r="E26" s="145"/>
      <c r="F26" s="21" t="s">
        <v>918</v>
      </c>
      <c r="G26" s="21" t="str">
        <f>VLOOKUP(P26,'CO F3'!$C$2:$M$108,7,FALSE)</f>
        <v xml:space="preserve">FUMISCOR </v>
      </c>
      <c r="H26" s="21" t="e">
        <f>VLOOKUP(Q26,'CO F3'!$C$2:$M$108,7,FALSE)</f>
        <v>#N/A</v>
      </c>
      <c r="I26" s="32" t="s">
        <v>697</v>
      </c>
      <c r="J26" s="33"/>
      <c r="K26" s="33" t="s">
        <v>13</v>
      </c>
      <c r="L26" s="33"/>
      <c r="M26" s="33"/>
      <c r="N26" s="33"/>
      <c r="O26" s="33"/>
      <c r="P26" s="32" t="s">
        <v>76</v>
      </c>
      <c r="Q26" s="32" t="s">
        <v>849</v>
      </c>
      <c r="R26" s="42" t="s">
        <v>849</v>
      </c>
      <c r="S26" s="42" t="s">
        <v>54</v>
      </c>
      <c r="T26" s="42" t="s">
        <v>53</v>
      </c>
      <c r="U26" s="34" t="s">
        <v>77</v>
      </c>
      <c r="V26" s="35" t="s">
        <v>41</v>
      </c>
      <c r="W26" s="34">
        <v>1</v>
      </c>
      <c r="X26" s="34"/>
      <c r="Y26" s="34"/>
      <c r="Z26" s="34"/>
      <c r="AA26" s="34"/>
      <c r="AB26" s="38" t="s">
        <v>30</v>
      </c>
      <c r="AC26" s="34" t="s">
        <v>55</v>
      </c>
      <c r="AD26" s="34" t="s">
        <v>19</v>
      </c>
      <c r="AE26" s="34" t="s">
        <v>20</v>
      </c>
      <c r="AF26" s="34" t="s">
        <v>56</v>
      </c>
      <c r="AG26" s="11"/>
    </row>
    <row r="27" spans="1:33" s="12" customFormat="1" ht="21.95" hidden="1" customHeight="1">
      <c r="A27" s="16">
        <v>26</v>
      </c>
      <c r="B27" s="17">
        <v>12</v>
      </c>
      <c r="C27" s="17">
        <v>26303</v>
      </c>
      <c r="D27" s="17" t="s">
        <v>918</v>
      </c>
      <c r="E27" s="143"/>
      <c r="F27" s="21" t="s">
        <v>918</v>
      </c>
      <c r="G27" s="21" t="e">
        <f>VLOOKUP(P27,'CO F3'!$C$2:$M$108,7,FALSE)</f>
        <v>#N/A</v>
      </c>
      <c r="H27" s="21" t="e">
        <f>VLOOKUP(Q27,'CO F3'!$C$2:$M$108,7,FALSE)</f>
        <v>#N/A</v>
      </c>
      <c r="I27" s="17" t="s">
        <v>697</v>
      </c>
      <c r="J27" s="18"/>
      <c r="K27" s="18"/>
      <c r="L27" s="18" t="s">
        <v>13</v>
      </c>
      <c r="M27" s="18"/>
      <c r="N27" s="18"/>
      <c r="O27" s="18"/>
      <c r="P27" s="17" t="s">
        <v>78</v>
      </c>
      <c r="Q27" s="17" t="s">
        <v>861</v>
      </c>
      <c r="R27" s="40" t="s">
        <v>853</v>
      </c>
      <c r="S27" s="40" t="s">
        <v>54</v>
      </c>
      <c r="T27" s="40" t="s">
        <v>76</v>
      </c>
      <c r="U27" s="19" t="s">
        <v>79</v>
      </c>
      <c r="V27" s="13" t="s">
        <v>24</v>
      </c>
      <c r="W27" s="19">
        <v>1</v>
      </c>
      <c r="X27" s="19" t="s">
        <v>199</v>
      </c>
      <c r="Y27" s="19" t="s">
        <v>38</v>
      </c>
      <c r="Z27" s="19">
        <v>1.46</v>
      </c>
      <c r="AA27" s="19">
        <v>0.39900000000000002</v>
      </c>
      <c r="AB27" s="38" t="s">
        <v>30</v>
      </c>
      <c r="AC27" s="19" t="s">
        <v>55</v>
      </c>
      <c r="AD27" s="19" t="s">
        <v>19</v>
      </c>
      <c r="AE27" s="19" t="s">
        <v>20</v>
      </c>
      <c r="AF27" s="19" t="s">
        <v>56</v>
      </c>
      <c r="AG27" s="11"/>
    </row>
    <row r="28" spans="1:33" s="12" customFormat="1" ht="21.95" hidden="1" customHeight="1">
      <c r="A28" s="24">
        <v>27</v>
      </c>
      <c r="B28" s="25">
        <v>12</v>
      </c>
      <c r="C28" s="25">
        <v>26303</v>
      </c>
      <c r="D28" s="25" t="s">
        <v>918</v>
      </c>
      <c r="E28" s="144"/>
      <c r="F28" s="21" t="s">
        <v>918</v>
      </c>
      <c r="G28" s="21" t="e">
        <f>VLOOKUP(P28,'CO F3'!$C$2:$M$108,7,FALSE)</f>
        <v>#N/A</v>
      </c>
      <c r="H28" s="21" t="e">
        <f>VLOOKUP(Q28,'CO F3'!$C$2:$M$108,7,FALSE)</f>
        <v>#N/A</v>
      </c>
      <c r="I28" s="25" t="s">
        <v>697</v>
      </c>
      <c r="J28" s="26"/>
      <c r="K28" s="26"/>
      <c r="L28" s="26" t="s">
        <v>13</v>
      </c>
      <c r="M28" s="26"/>
      <c r="N28" s="26"/>
      <c r="O28" s="26"/>
      <c r="P28" s="25">
        <v>7703042086</v>
      </c>
      <c r="Q28" s="25" t="s">
        <v>865</v>
      </c>
      <c r="R28" s="41" t="s">
        <v>847</v>
      </c>
      <c r="S28" s="41" t="s">
        <v>54</v>
      </c>
      <c r="T28" s="41" t="s">
        <v>76</v>
      </c>
      <c r="U28" s="27" t="s">
        <v>75</v>
      </c>
      <c r="V28" s="15" t="s">
        <v>29</v>
      </c>
      <c r="W28" s="27">
        <v>1</v>
      </c>
      <c r="X28" s="27"/>
      <c r="Y28" s="27"/>
      <c r="Z28" s="27"/>
      <c r="AA28" s="27">
        <v>6.0000000000000001E-3</v>
      </c>
      <c r="AB28" s="38" t="s">
        <v>30</v>
      </c>
      <c r="AC28" s="27" t="s">
        <v>55</v>
      </c>
      <c r="AD28" s="27" t="s">
        <v>19</v>
      </c>
      <c r="AE28" s="27" t="s">
        <v>20</v>
      </c>
      <c r="AF28" s="27" t="s">
        <v>56</v>
      </c>
      <c r="AG28" s="11"/>
    </row>
    <row r="29" spans="1:33" s="12" customFormat="1" ht="21.95" hidden="1" customHeight="1">
      <c r="A29" s="31">
        <v>28</v>
      </c>
      <c r="B29" s="32">
        <v>12</v>
      </c>
      <c r="C29" s="32">
        <v>26303</v>
      </c>
      <c r="D29" s="32" t="s">
        <v>918</v>
      </c>
      <c r="E29" s="145"/>
      <c r="F29" s="21" t="s">
        <v>918</v>
      </c>
      <c r="G29" s="21" t="str">
        <f>VLOOKUP(P29,'CO F3'!$C$2:$M$108,7,FALSE)</f>
        <v xml:space="preserve">FUMISCOR </v>
      </c>
      <c r="H29" s="21" t="e">
        <f>VLOOKUP(Q29,'CO F3'!$C$2:$M$108,7,FALSE)</f>
        <v>#N/A</v>
      </c>
      <c r="I29" s="32" t="s">
        <v>697</v>
      </c>
      <c r="J29" s="33"/>
      <c r="K29" s="33" t="s">
        <v>13</v>
      </c>
      <c r="L29" s="33"/>
      <c r="M29" s="33"/>
      <c r="N29" s="33"/>
      <c r="O29" s="33"/>
      <c r="P29" s="32" t="s">
        <v>80</v>
      </c>
      <c r="Q29" s="32" t="s">
        <v>849</v>
      </c>
      <c r="R29" s="42" t="s">
        <v>849</v>
      </c>
      <c r="S29" s="42" t="s">
        <v>54</v>
      </c>
      <c r="T29" s="42" t="s">
        <v>53</v>
      </c>
      <c r="U29" s="34" t="s">
        <v>81</v>
      </c>
      <c r="V29" s="35" t="s">
        <v>41</v>
      </c>
      <c r="W29" s="34">
        <v>1</v>
      </c>
      <c r="X29" s="34"/>
      <c r="Y29" s="34"/>
      <c r="Z29" s="34"/>
      <c r="AA29" s="34"/>
      <c r="AB29" s="38" t="s">
        <v>30</v>
      </c>
      <c r="AC29" s="34" t="s">
        <v>55</v>
      </c>
      <c r="AD29" s="34" t="s">
        <v>19</v>
      </c>
      <c r="AE29" s="34" t="s">
        <v>20</v>
      </c>
      <c r="AF29" s="34" t="s">
        <v>56</v>
      </c>
      <c r="AG29" s="11"/>
    </row>
    <row r="30" spans="1:33" s="12" customFormat="1" ht="21.95" hidden="1" customHeight="1">
      <c r="A30" s="16">
        <v>29</v>
      </c>
      <c r="B30" s="17">
        <v>12</v>
      </c>
      <c r="C30" s="17">
        <v>26303</v>
      </c>
      <c r="D30" s="17" t="s">
        <v>918</v>
      </c>
      <c r="E30" s="143"/>
      <c r="F30" s="21" t="s">
        <v>918</v>
      </c>
      <c r="G30" s="21" t="e">
        <f>VLOOKUP(P30,'CO F3'!$C$2:$M$108,7,FALSE)</f>
        <v>#N/A</v>
      </c>
      <c r="H30" s="21" t="e">
        <f>VLOOKUP(Q30,'CO F3'!$C$2:$M$108,7,FALSE)</f>
        <v>#N/A</v>
      </c>
      <c r="I30" s="17" t="s">
        <v>697</v>
      </c>
      <c r="J30" s="18"/>
      <c r="K30" s="18"/>
      <c r="L30" s="18" t="s">
        <v>13</v>
      </c>
      <c r="M30" s="18"/>
      <c r="N30" s="18"/>
      <c r="O30" s="18"/>
      <c r="P30" s="17" t="s">
        <v>82</v>
      </c>
      <c r="Q30" s="17" t="s">
        <v>861</v>
      </c>
      <c r="R30" s="40" t="s">
        <v>848</v>
      </c>
      <c r="S30" s="40" t="s">
        <v>54</v>
      </c>
      <c r="T30" s="40" t="s">
        <v>80</v>
      </c>
      <c r="U30" s="19" t="s">
        <v>83</v>
      </c>
      <c r="V30" s="13" t="s">
        <v>24</v>
      </c>
      <c r="W30" s="19">
        <v>1</v>
      </c>
      <c r="X30" s="19" t="s">
        <v>199</v>
      </c>
      <c r="Y30" s="19" t="s">
        <v>38</v>
      </c>
      <c r="Z30" s="19">
        <v>0.68</v>
      </c>
      <c r="AA30" s="19">
        <v>0.374</v>
      </c>
      <c r="AB30" s="38" t="s">
        <v>30</v>
      </c>
      <c r="AC30" s="19" t="s">
        <v>55</v>
      </c>
      <c r="AD30" s="19" t="s">
        <v>19</v>
      </c>
      <c r="AE30" s="19" t="s">
        <v>20</v>
      </c>
      <c r="AF30" s="19" t="s">
        <v>56</v>
      </c>
      <c r="AG30" s="11"/>
    </row>
    <row r="31" spans="1:33" s="12" customFormat="1" ht="21.95" hidden="1" customHeight="1">
      <c r="A31" s="24">
        <v>30</v>
      </c>
      <c r="B31" s="25">
        <v>12</v>
      </c>
      <c r="C31" s="25">
        <v>26303</v>
      </c>
      <c r="D31" s="25" t="s">
        <v>918</v>
      </c>
      <c r="E31" s="144"/>
      <c r="F31" s="21" t="s">
        <v>918</v>
      </c>
      <c r="G31" s="21" t="e">
        <f>VLOOKUP(P31,'CO F3'!$C$2:$M$108,7,FALSE)</f>
        <v>#N/A</v>
      </c>
      <c r="H31" s="21" t="e">
        <f>VLOOKUP(Q31,'CO F3'!$C$2:$M$108,7,FALSE)</f>
        <v>#N/A</v>
      </c>
      <c r="I31" s="25" t="s">
        <v>697</v>
      </c>
      <c r="J31" s="26"/>
      <c r="K31" s="26"/>
      <c r="L31" s="26" t="s">
        <v>13</v>
      </c>
      <c r="M31" s="26"/>
      <c r="N31" s="26"/>
      <c r="O31" s="26"/>
      <c r="P31" s="25">
        <v>7703042086</v>
      </c>
      <c r="Q31" s="25" t="s">
        <v>865</v>
      </c>
      <c r="R31" s="41" t="s">
        <v>847</v>
      </c>
      <c r="S31" s="41" t="s">
        <v>54</v>
      </c>
      <c r="T31" s="41" t="s">
        <v>80</v>
      </c>
      <c r="U31" s="27" t="s">
        <v>75</v>
      </c>
      <c r="V31" s="15" t="s">
        <v>29</v>
      </c>
      <c r="W31" s="27">
        <v>1</v>
      </c>
      <c r="X31" s="27"/>
      <c r="Y31" s="27"/>
      <c r="Z31" s="27"/>
      <c r="AA31" s="27">
        <v>6.0000000000000001E-3</v>
      </c>
      <c r="AB31" s="38" t="s">
        <v>30</v>
      </c>
      <c r="AC31" s="27" t="s">
        <v>55</v>
      </c>
      <c r="AD31" s="27" t="s">
        <v>19</v>
      </c>
      <c r="AE31" s="27" t="s">
        <v>20</v>
      </c>
      <c r="AF31" s="27" t="s">
        <v>56</v>
      </c>
      <c r="AG31" s="11"/>
    </row>
    <row r="32" spans="1:33" s="12" customFormat="1" ht="21.95" hidden="1" customHeight="1">
      <c r="A32" s="31">
        <v>31</v>
      </c>
      <c r="B32" s="32">
        <v>12</v>
      </c>
      <c r="C32" s="32">
        <v>26303</v>
      </c>
      <c r="D32" s="32" t="s">
        <v>918</v>
      </c>
      <c r="E32" s="145">
        <v>611877</v>
      </c>
      <c r="F32" s="21" t="s">
        <v>924</v>
      </c>
      <c r="G32" s="21" t="str">
        <f>VLOOKUP(P32,'CO F3'!$C$2:$M$108,7,FALSE)</f>
        <v>SC SILDVB COM SA</v>
      </c>
      <c r="H32" s="21" t="e">
        <f>VLOOKUP(Q32,'CO F3'!$C$2:$M$108,7,FALSE)</f>
        <v>#N/A</v>
      </c>
      <c r="I32" s="32" t="s">
        <v>697</v>
      </c>
      <c r="J32" s="33"/>
      <c r="K32" s="33" t="s">
        <v>13</v>
      </c>
      <c r="L32" s="33"/>
      <c r="M32" s="33"/>
      <c r="N32" s="33"/>
      <c r="O32" s="33"/>
      <c r="P32" s="32" t="s">
        <v>84</v>
      </c>
      <c r="Q32" s="32" t="s">
        <v>849</v>
      </c>
      <c r="R32" s="42" t="s">
        <v>849</v>
      </c>
      <c r="S32" s="42" t="s">
        <v>54</v>
      </c>
      <c r="T32" s="42" t="s">
        <v>53</v>
      </c>
      <c r="U32" s="34" t="s">
        <v>85</v>
      </c>
      <c r="V32" s="35" t="s">
        <v>41</v>
      </c>
      <c r="W32" s="34">
        <v>1</v>
      </c>
      <c r="X32" s="34"/>
      <c r="Y32" s="34"/>
      <c r="Z32" s="34"/>
      <c r="AA32" s="34"/>
      <c r="AB32" s="38" t="s">
        <v>30</v>
      </c>
      <c r="AC32" s="34" t="s">
        <v>55</v>
      </c>
      <c r="AD32" s="34" t="s">
        <v>19</v>
      </c>
      <c r="AE32" s="34" t="s">
        <v>20</v>
      </c>
      <c r="AF32" s="34" t="s">
        <v>56</v>
      </c>
      <c r="AG32" s="11"/>
    </row>
    <row r="33" spans="1:33" s="12" customFormat="1" ht="21.95" hidden="1" customHeight="1">
      <c r="A33" s="16">
        <v>32</v>
      </c>
      <c r="B33" s="17">
        <v>12</v>
      </c>
      <c r="C33" s="17">
        <v>26303</v>
      </c>
      <c r="D33" s="17" t="s">
        <v>918</v>
      </c>
      <c r="E33" s="143">
        <v>611877</v>
      </c>
      <c r="F33" s="21" t="s">
        <v>924</v>
      </c>
      <c r="G33" s="21" t="e">
        <f>VLOOKUP(P33,'CO F3'!$C$2:$M$108,7,FALSE)</f>
        <v>#N/A</v>
      </c>
      <c r="H33" s="21" t="e">
        <f>VLOOKUP(Q33,'CO F3'!$C$2:$M$108,7,FALSE)</f>
        <v>#N/A</v>
      </c>
      <c r="I33" s="17" t="s">
        <v>697</v>
      </c>
      <c r="J33" s="18"/>
      <c r="K33" s="18"/>
      <c r="L33" s="18" t="s">
        <v>13</v>
      </c>
      <c r="M33" s="18"/>
      <c r="N33" s="18"/>
      <c r="O33" s="18"/>
      <c r="P33" s="17" t="s">
        <v>86</v>
      </c>
      <c r="Q33" s="17" t="s">
        <v>863</v>
      </c>
      <c r="R33" s="40" t="s">
        <v>851</v>
      </c>
      <c r="S33" s="40" t="s">
        <v>54</v>
      </c>
      <c r="T33" s="40" t="s">
        <v>84</v>
      </c>
      <c r="U33" s="19" t="s">
        <v>79</v>
      </c>
      <c r="V33" s="13" t="s">
        <v>24</v>
      </c>
      <c r="W33" s="19">
        <v>1</v>
      </c>
      <c r="X33" s="19" t="s">
        <v>199</v>
      </c>
      <c r="Y33" s="19" t="s">
        <v>38</v>
      </c>
      <c r="Z33" s="19">
        <v>1.2</v>
      </c>
      <c r="AA33" s="19">
        <v>0.05</v>
      </c>
      <c r="AB33" s="38" t="s">
        <v>30</v>
      </c>
      <c r="AC33" s="19" t="s">
        <v>55</v>
      </c>
      <c r="AD33" s="19" t="s">
        <v>19</v>
      </c>
      <c r="AE33" s="19" t="s">
        <v>20</v>
      </c>
      <c r="AF33" s="19" t="s">
        <v>56</v>
      </c>
      <c r="AG33" s="11"/>
    </row>
    <row r="34" spans="1:33" s="12" customFormat="1" ht="21.95" hidden="1" customHeight="1">
      <c r="A34" s="24">
        <v>33</v>
      </c>
      <c r="B34" s="25">
        <v>12</v>
      </c>
      <c r="C34" s="25">
        <v>26303</v>
      </c>
      <c r="D34" s="25" t="s">
        <v>918</v>
      </c>
      <c r="E34" s="144">
        <v>611877</v>
      </c>
      <c r="F34" s="21" t="s">
        <v>924</v>
      </c>
      <c r="G34" s="21" t="e">
        <f>VLOOKUP(P34,'CO F3'!$C$2:$M$108,7,FALSE)</f>
        <v>#N/A</v>
      </c>
      <c r="H34" s="21" t="e">
        <f>VLOOKUP(Q34,'CO F3'!$C$2:$M$108,7,FALSE)</f>
        <v>#N/A</v>
      </c>
      <c r="I34" s="25" t="s">
        <v>697</v>
      </c>
      <c r="J34" s="26"/>
      <c r="K34" s="26"/>
      <c r="L34" s="26" t="s">
        <v>13</v>
      </c>
      <c r="M34" s="26"/>
      <c r="N34" s="26"/>
      <c r="O34" s="26"/>
      <c r="P34" s="25">
        <v>7703042086</v>
      </c>
      <c r="Q34" s="25" t="s">
        <v>865</v>
      </c>
      <c r="R34" s="41" t="s">
        <v>847</v>
      </c>
      <c r="S34" s="41" t="s">
        <v>54</v>
      </c>
      <c r="T34" s="41" t="s">
        <v>84</v>
      </c>
      <c r="U34" s="27" t="s">
        <v>75</v>
      </c>
      <c r="V34" s="15" t="s">
        <v>29</v>
      </c>
      <c r="W34" s="27">
        <v>1</v>
      </c>
      <c r="X34" s="27"/>
      <c r="Y34" s="27"/>
      <c r="Z34" s="27"/>
      <c r="AA34" s="27">
        <v>6.0000000000000001E-3</v>
      </c>
      <c r="AB34" s="38" t="s">
        <v>30</v>
      </c>
      <c r="AC34" s="27" t="s">
        <v>55</v>
      </c>
      <c r="AD34" s="27" t="s">
        <v>19</v>
      </c>
      <c r="AE34" s="27" t="s">
        <v>20</v>
      </c>
      <c r="AF34" s="27" t="s">
        <v>56</v>
      </c>
      <c r="AG34" s="11"/>
    </row>
    <row r="35" spans="1:33" s="12" customFormat="1" ht="21.95" hidden="1" customHeight="1">
      <c r="A35" s="20">
        <v>34</v>
      </c>
      <c r="B35" s="21">
        <v>12</v>
      </c>
      <c r="C35" s="21">
        <v>22969</v>
      </c>
      <c r="D35" s="21" t="s">
        <v>918</v>
      </c>
      <c r="E35" s="142"/>
      <c r="F35" s="21" t="s">
        <v>918</v>
      </c>
      <c r="G35" s="21" t="s">
        <v>918</v>
      </c>
      <c r="H35" s="21" t="s">
        <v>918</v>
      </c>
      <c r="I35" s="21" t="s">
        <v>697</v>
      </c>
      <c r="J35" s="22" t="s">
        <v>13</v>
      </c>
      <c r="K35" s="22"/>
      <c r="L35" s="22"/>
      <c r="M35" s="22"/>
      <c r="N35" s="22"/>
      <c r="O35" s="22"/>
      <c r="P35" s="21" t="s">
        <v>87</v>
      </c>
      <c r="Q35" s="21" t="s">
        <v>861</v>
      </c>
      <c r="R35" s="39" t="s">
        <v>847</v>
      </c>
      <c r="S35" s="39" t="s">
        <v>88</v>
      </c>
      <c r="T35" s="39"/>
      <c r="U35" s="23" t="s">
        <v>88</v>
      </c>
      <c r="V35" s="14" t="s">
        <v>16</v>
      </c>
      <c r="W35" s="23">
        <v>1</v>
      </c>
      <c r="X35" s="23"/>
      <c r="Y35" s="23"/>
      <c r="Z35" s="23"/>
      <c r="AA35" s="23">
        <v>5.97</v>
      </c>
      <c r="AB35" s="37" t="s">
        <v>17</v>
      </c>
      <c r="AC35" s="23" t="s">
        <v>89</v>
      </c>
      <c r="AD35" s="23" t="s">
        <v>34</v>
      </c>
      <c r="AE35" s="23" t="s">
        <v>20</v>
      </c>
      <c r="AF35" s="23" t="s">
        <v>90</v>
      </c>
      <c r="AG35" s="11"/>
    </row>
    <row r="36" spans="1:33" s="12" customFormat="1" ht="21.95" hidden="1" customHeight="1">
      <c r="A36" s="16">
        <v>35</v>
      </c>
      <c r="B36" s="17">
        <v>12</v>
      </c>
      <c r="C36" s="17">
        <v>22969</v>
      </c>
      <c r="D36" s="17" t="s">
        <v>918</v>
      </c>
      <c r="E36" s="143"/>
      <c r="F36" s="21" t="s">
        <v>918</v>
      </c>
      <c r="G36" s="21" t="e">
        <f>VLOOKUP(P36,'CO F3'!$C$2:$M$108,7,FALSE)</f>
        <v>#N/A</v>
      </c>
      <c r="H36" s="21" t="e">
        <f>VLOOKUP(Q36,'CO F3'!$C$2:$M$108,7,FALSE)</f>
        <v>#N/A</v>
      </c>
      <c r="I36" s="17" t="s">
        <v>697</v>
      </c>
      <c r="J36" s="18"/>
      <c r="K36" s="18" t="s">
        <v>13</v>
      </c>
      <c r="L36" s="18"/>
      <c r="M36" s="18"/>
      <c r="N36" s="18"/>
      <c r="O36" s="18"/>
      <c r="P36" s="17" t="s">
        <v>91</v>
      </c>
      <c r="Q36" s="17" t="s">
        <v>866</v>
      </c>
      <c r="R36" s="40" t="s">
        <v>847</v>
      </c>
      <c r="S36" s="40" t="s">
        <v>88</v>
      </c>
      <c r="T36" s="40" t="s">
        <v>87</v>
      </c>
      <c r="U36" s="19" t="s">
        <v>92</v>
      </c>
      <c r="V36" s="13" t="s">
        <v>24</v>
      </c>
      <c r="W36" s="19">
        <v>1</v>
      </c>
      <c r="X36" s="19" t="s">
        <v>548</v>
      </c>
      <c r="Y36" s="19" t="s">
        <v>93</v>
      </c>
      <c r="Z36" s="19">
        <v>1.07</v>
      </c>
      <c r="AA36" s="19">
        <v>1.74</v>
      </c>
      <c r="AB36" s="37" t="s">
        <v>17</v>
      </c>
      <c r="AC36" s="19" t="s">
        <v>89</v>
      </c>
      <c r="AD36" s="19" t="s">
        <v>34</v>
      </c>
      <c r="AE36" s="19" t="s">
        <v>20</v>
      </c>
      <c r="AF36" s="19" t="s">
        <v>90</v>
      </c>
      <c r="AG36" s="11"/>
    </row>
    <row r="37" spans="1:33" s="12" customFormat="1" ht="21.95" hidden="1" customHeight="1">
      <c r="A37" s="31">
        <v>36</v>
      </c>
      <c r="B37" s="32">
        <v>12</v>
      </c>
      <c r="C37" s="32">
        <v>22969</v>
      </c>
      <c r="D37" s="32" t="s">
        <v>918</v>
      </c>
      <c r="E37" s="145"/>
      <c r="F37" s="21" t="s">
        <v>918</v>
      </c>
      <c r="G37" s="21" t="e">
        <f>VLOOKUP(P37,'CO F3'!$C$2:$M$108,7,FALSE)</f>
        <v>#N/A</v>
      </c>
      <c r="H37" s="21" t="e">
        <f>VLOOKUP(Q37,'CO F3'!$C$2:$M$108,7,FALSE)</f>
        <v>#N/A</v>
      </c>
      <c r="I37" s="32" t="s">
        <v>697</v>
      </c>
      <c r="J37" s="33"/>
      <c r="K37" s="33" t="s">
        <v>13</v>
      </c>
      <c r="L37" s="33"/>
      <c r="M37" s="33"/>
      <c r="N37" s="33"/>
      <c r="O37" s="33"/>
      <c r="P37" s="32" t="s">
        <v>94</v>
      </c>
      <c r="Q37" s="32" t="s">
        <v>849</v>
      </c>
      <c r="R37" s="42" t="s">
        <v>849</v>
      </c>
      <c r="S37" s="42" t="s">
        <v>88</v>
      </c>
      <c r="T37" s="42" t="s">
        <v>87</v>
      </c>
      <c r="U37" s="34" t="s">
        <v>95</v>
      </c>
      <c r="V37" s="35" t="s">
        <v>41</v>
      </c>
      <c r="W37" s="34">
        <v>1</v>
      </c>
      <c r="X37" s="34"/>
      <c r="Y37" s="34"/>
      <c r="Z37" s="34"/>
      <c r="AA37" s="34">
        <v>1.24</v>
      </c>
      <c r="AB37" s="37" t="s">
        <v>17</v>
      </c>
      <c r="AC37" s="34" t="s">
        <v>89</v>
      </c>
      <c r="AD37" s="34" t="s">
        <v>34</v>
      </c>
      <c r="AE37" s="34" t="s">
        <v>20</v>
      </c>
      <c r="AF37" s="34" t="s">
        <v>90</v>
      </c>
      <c r="AG37" s="11"/>
    </row>
    <row r="38" spans="1:33" s="12" customFormat="1" ht="21.95" hidden="1" customHeight="1">
      <c r="A38" s="16">
        <v>37</v>
      </c>
      <c r="B38" s="17">
        <v>12</v>
      </c>
      <c r="C38" s="17">
        <v>22969</v>
      </c>
      <c r="D38" s="17" t="s">
        <v>918</v>
      </c>
      <c r="E38" s="143"/>
      <c r="F38" s="21" t="s">
        <v>918</v>
      </c>
      <c r="G38" s="21" t="e">
        <f>VLOOKUP(P38,'CO F3'!$C$2:$M$108,7,FALSE)</f>
        <v>#N/A</v>
      </c>
      <c r="H38" s="21" t="e">
        <f>VLOOKUP(Q38,'CO F3'!$C$2:$M$108,7,FALSE)</f>
        <v>#N/A</v>
      </c>
      <c r="I38" s="17" t="s">
        <v>697</v>
      </c>
      <c r="J38" s="18"/>
      <c r="K38" s="18"/>
      <c r="L38" s="18" t="s">
        <v>13</v>
      </c>
      <c r="M38" s="18"/>
      <c r="N38" s="18"/>
      <c r="O38" s="18"/>
      <c r="P38" s="17" t="s">
        <v>96</v>
      </c>
      <c r="Q38" s="17" t="s">
        <v>866</v>
      </c>
      <c r="R38" s="40" t="s">
        <v>848</v>
      </c>
      <c r="S38" s="40" t="s">
        <v>88</v>
      </c>
      <c r="T38" s="40" t="s">
        <v>94</v>
      </c>
      <c r="U38" s="19" t="s">
        <v>97</v>
      </c>
      <c r="V38" s="13" t="s">
        <v>24</v>
      </c>
      <c r="W38" s="19">
        <v>1</v>
      </c>
      <c r="X38" s="19" t="s">
        <v>809</v>
      </c>
      <c r="Y38" s="19" t="s">
        <v>93</v>
      </c>
      <c r="Z38" s="19">
        <v>1.47</v>
      </c>
      <c r="AA38" s="19">
        <v>0.85</v>
      </c>
      <c r="AB38" s="37" t="s">
        <v>17</v>
      </c>
      <c r="AC38" s="19" t="s">
        <v>89</v>
      </c>
      <c r="AD38" s="19" t="s">
        <v>34</v>
      </c>
      <c r="AE38" s="19" t="s">
        <v>20</v>
      </c>
      <c r="AF38" s="19" t="s">
        <v>90</v>
      </c>
      <c r="AG38" s="11"/>
    </row>
    <row r="39" spans="1:33" s="12" customFormat="1" ht="21.95" hidden="1" customHeight="1">
      <c r="A39" s="16">
        <v>38</v>
      </c>
      <c r="B39" s="17">
        <v>12</v>
      </c>
      <c r="C39" s="17">
        <v>22969</v>
      </c>
      <c r="D39" s="17" t="s">
        <v>918</v>
      </c>
      <c r="E39" s="143"/>
      <c r="F39" s="21" t="s">
        <v>918</v>
      </c>
      <c r="G39" s="21" t="e">
        <f>VLOOKUP(P39,'CO F3'!$C$2:$M$108,7,FALSE)</f>
        <v>#N/A</v>
      </c>
      <c r="H39" s="21" t="e">
        <f>VLOOKUP(Q39,'CO F3'!$C$2:$M$108,7,FALSE)</f>
        <v>#N/A</v>
      </c>
      <c r="I39" s="17" t="s">
        <v>697</v>
      </c>
      <c r="J39" s="18"/>
      <c r="K39" s="18"/>
      <c r="L39" s="18" t="s">
        <v>13</v>
      </c>
      <c r="M39" s="18"/>
      <c r="N39" s="18"/>
      <c r="O39" s="18"/>
      <c r="P39" s="17" t="s">
        <v>98</v>
      </c>
      <c r="Q39" s="17" t="s">
        <v>866</v>
      </c>
      <c r="R39" s="40" t="s">
        <v>847</v>
      </c>
      <c r="S39" s="40" t="s">
        <v>88</v>
      </c>
      <c r="T39" s="40" t="s">
        <v>94</v>
      </c>
      <c r="U39" s="19" t="s">
        <v>99</v>
      </c>
      <c r="V39" s="13" t="s">
        <v>24</v>
      </c>
      <c r="W39" s="19">
        <v>1</v>
      </c>
      <c r="X39" s="19" t="s">
        <v>834</v>
      </c>
      <c r="Y39" s="19" t="s">
        <v>93</v>
      </c>
      <c r="Z39" s="19">
        <v>1.99</v>
      </c>
      <c r="AA39" s="19">
        <v>0.39</v>
      </c>
      <c r="AB39" s="37" t="s">
        <v>17</v>
      </c>
      <c r="AC39" s="19" t="s">
        <v>89</v>
      </c>
      <c r="AD39" s="19" t="s">
        <v>34</v>
      </c>
      <c r="AE39" s="19" t="s">
        <v>20</v>
      </c>
      <c r="AF39" s="19" t="s">
        <v>90</v>
      </c>
      <c r="AG39" s="11"/>
    </row>
    <row r="40" spans="1:33" s="12" customFormat="1" ht="21.95" hidden="1" customHeight="1">
      <c r="A40" s="31">
        <v>39</v>
      </c>
      <c r="B40" s="32">
        <v>12</v>
      </c>
      <c r="C40" s="32">
        <v>22969</v>
      </c>
      <c r="D40" s="32" t="s">
        <v>918</v>
      </c>
      <c r="E40" s="145"/>
      <c r="F40" s="21" t="s">
        <v>918</v>
      </c>
      <c r="G40" s="21" t="e">
        <f>VLOOKUP(P40,'CO F3'!$C$2:$M$108,7,FALSE)</f>
        <v>#N/A</v>
      </c>
      <c r="H40" s="21" t="e">
        <f>VLOOKUP(Q40,'CO F3'!$C$2:$M$108,7,FALSE)</f>
        <v>#N/A</v>
      </c>
      <c r="I40" s="32" t="s">
        <v>697</v>
      </c>
      <c r="J40" s="33"/>
      <c r="K40" s="33"/>
      <c r="L40" s="33" t="s">
        <v>13</v>
      </c>
      <c r="M40" s="33"/>
      <c r="N40" s="33"/>
      <c r="O40" s="33"/>
      <c r="P40" s="32" t="s">
        <v>100</v>
      </c>
      <c r="Q40" s="32" t="s">
        <v>849</v>
      </c>
      <c r="R40" s="42" t="s">
        <v>849</v>
      </c>
      <c r="S40" s="42" t="s">
        <v>88</v>
      </c>
      <c r="T40" s="42" t="s">
        <v>94</v>
      </c>
      <c r="U40" s="34" t="s">
        <v>101</v>
      </c>
      <c r="V40" s="35" t="s">
        <v>41</v>
      </c>
      <c r="W40" s="34">
        <v>1</v>
      </c>
      <c r="X40" s="34"/>
      <c r="Y40" s="34"/>
      <c r="Z40" s="34"/>
      <c r="AA40" s="34">
        <v>0.39</v>
      </c>
      <c r="AB40" s="37" t="s">
        <v>17</v>
      </c>
      <c r="AC40" s="34" t="s">
        <v>89</v>
      </c>
      <c r="AD40" s="34" t="s">
        <v>34</v>
      </c>
      <c r="AE40" s="34" t="s">
        <v>20</v>
      </c>
      <c r="AF40" s="34" t="s">
        <v>90</v>
      </c>
      <c r="AG40" s="11"/>
    </row>
    <row r="41" spans="1:33" s="12" customFormat="1" ht="21.95" hidden="1" customHeight="1">
      <c r="A41" s="16">
        <v>40</v>
      </c>
      <c r="B41" s="17">
        <v>12</v>
      </c>
      <c r="C41" s="17">
        <v>22969</v>
      </c>
      <c r="D41" s="17" t="s">
        <v>918</v>
      </c>
      <c r="E41" s="143"/>
      <c r="F41" s="21" t="s">
        <v>918</v>
      </c>
      <c r="G41" s="21" t="e">
        <f>VLOOKUP(P41,'CO F3'!$C$2:$M$108,7,FALSE)</f>
        <v>#N/A</v>
      </c>
      <c r="H41" s="21" t="e">
        <f>VLOOKUP(Q41,'CO F3'!$C$2:$M$108,7,FALSE)</f>
        <v>#N/A</v>
      </c>
      <c r="I41" s="17" t="s">
        <v>697</v>
      </c>
      <c r="J41" s="18"/>
      <c r="K41" s="18"/>
      <c r="L41" s="18"/>
      <c r="M41" s="18" t="s">
        <v>13</v>
      </c>
      <c r="N41" s="18"/>
      <c r="O41" s="18"/>
      <c r="P41" s="17" t="s">
        <v>102</v>
      </c>
      <c r="Q41" s="17" t="s">
        <v>863</v>
      </c>
      <c r="R41" s="40" t="s">
        <v>852</v>
      </c>
      <c r="S41" s="40" t="s">
        <v>88</v>
      </c>
      <c r="T41" s="40" t="s">
        <v>100</v>
      </c>
      <c r="U41" s="19" t="s">
        <v>103</v>
      </c>
      <c r="V41" s="13" t="s">
        <v>24</v>
      </c>
      <c r="W41" s="19">
        <v>1</v>
      </c>
      <c r="X41" s="19" t="s">
        <v>833</v>
      </c>
      <c r="Y41" s="19" t="s">
        <v>93</v>
      </c>
      <c r="Z41" s="19">
        <v>1.99</v>
      </c>
      <c r="AA41" s="19">
        <v>0.36</v>
      </c>
      <c r="AB41" s="37" t="s">
        <v>17</v>
      </c>
      <c r="AC41" s="19" t="s">
        <v>89</v>
      </c>
      <c r="AD41" s="19" t="s">
        <v>34</v>
      </c>
      <c r="AE41" s="19" t="s">
        <v>20</v>
      </c>
      <c r="AF41" s="19" t="s">
        <v>90</v>
      </c>
      <c r="AG41" s="11"/>
    </row>
    <row r="42" spans="1:33" s="12" customFormat="1" ht="21.95" hidden="1" customHeight="1">
      <c r="A42" s="24">
        <v>41</v>
      </c>
      <c r="B42" s="25">
        <v>12</v>
      </c>
      <c r="C42" s="25">
        <v>22969</v>
      </c>
      <c r="D42" s="25" t="s">
        <v>918</v>
      </c>
      <c r="E42" s="144"/>
      <c r="F42" s="21" t="s">
        <v>917</v>
      </c>
      <c r="G42" s="21" t="e">
        <f>VLOOKUP(P42,'CO F3'!$C$2:$M$108,7,FALSE)</f>
        <v>#N/A</v>
      </c>
      <c r="H42" s="21" t="e">
        <f>VLOOKUP(Q42,'CO F3'!$C$2:$M$108,7,FALSE)</f>
        <v>#N/A</v>
      </c>
      <c r="I42" s="25" t="s">
        <v>697</v>
      </c>
      <c r="J42" s="26"/>
      <c r="K42" s="26"/>
      <c r="L42" s="26"/>
      <c r="M42" s="26" t="s">
        <v>13</v>
      </c>
      <c r="N42" s="26"/>
      <c r="O42" s="26"/>
      <c r="P42" s="25">
        <v>7703043086</v>
      </c>
      <c r="Q42" s="25" t="s">
        <v>849</v>
      </c>
      <c r="R42" s="41" t="s">
        <v>849</v>
      </c>
      <c r="S42" s="41" t="s">
        <v>88</v>
      </c>
      <c r="T42" s="41" t="s">
        <v>100</v>
      </c>
      <c r="U42" s="27" t="s">
        <v>104</v>
      </c>
      <c r="V42" s="15" t="s">
        <v>29</v>
      </c>
      <c r="W42" s="27">
        <v>1</v>
      </c>
      <c r="X42" s="27"/>
      <c r="Y42" s="27"/>
      <c r="Z42" s="27"/>
      <c r="AA42" s="27">
        <v>0.03</v>
      </c>
      <c r="AB42" s="38" t="s">
        <v>30</v>
      </c>
      <c r="AC42" s="27" t="s">
        <v>89</v>
      </c>
      <c r="AD42" s="27" t="s">
        <v>34</v>
      </c>
      <c r="AE42" s="27" t="s">
        <v>20</v>
      </c>
      <c r="AF42" s="27" t="s">
        <v>90</v>
      </c>
      <c r="AG42" s="11"/>
    </row>
    <row r="43" spans="1:33" s="12" customFormat="1" ht="21.95" hidden="1" customHeight="1">
      <c r="A43" s="16">
        <v>42</v>
      </c>
      <c r="B43" s="17">
        <v>12</v>
      </c>
      <c r="C43" s="17">
        <v>22969</v>
      </c>
      <c r="D43" s="17" t="s">
        <v>918</v>
      </c>
      <c r="E43" s="143"/>
      <c r="F43" s="21" t="s">
        <v>918</v>
      </c>
      <c r="G43" s="21" t="e">
        <f>VLOOKUP(P43,'CO F3'!$C$2:$M$108,7,FALSE)</f>
        <v>#N/A</v>
      </c>
      <c r="H43" s="21" t="e">
        <f>VLOOKUP(Q43,'CO F3'!$C$2:$M$108,7,FALSE)</f>
        <v>#N/A</v>
      </c>
      <c r="I43" s="17" t="s">
        <v>697</v>
      </c>
      <c r="J43" s="18"/>
      <c r="K43" s="18" t="s">
        <v>13</v>
      </c>
      <c r="L43" s="18"/>
      <c r="M43" s="18"/>
      <c r="N43" s="18"/>
      <c r="O43" s="18"/>
      <c r="P43" s="17" t="s">
        <v>105</v>
      </c>
      <c r="Q43" s="17" t="s">
        <v>863</v>
      </c>
      <c r="R43" s="40" t="s">
        <v>852</v>
      </c>
      <c r="S43" s="40" t="s">
        <v>88</v>
      </c>
      <c r="T43" s="40" t="s">
        <v>87</v>
      </c>
      <c r="U43" s="19" t="s">
        <v>106</v>
      </c>
      <c r="V43" s="13" t="s">
        <v>24</v>
      </c>
      <c r="W43" s="19">
        <v>1</v>
      </c>
      <c r="X43" s="19" t="s">
        <v>462</v>
      </c>
      <c r="Y43" s="19" t="s">
        <v>93</v>
      </c>
      <c r="Z43" s="19">
        <v>1.46</v>
      </c>
      <c r="AA43" s="19">
        <v>0.97</v>
      </c>
      <c r="AB43" s="37" t="s">
        <v>17</v>
      </c>
      <c r="AC43" s="19" t="s">
        <v>89</v>
      </c>
      <c r="AD43" s="19" t="s">
        <v>34</v>
      </c>
      <c r="AE43" s="19" t="s">
        <v>20</v>
      </c>
      <c r="AF43" s="19" t="s">
        <v>90</v>
      </c>
      <c r="AG43" s="11"/>
    </row>
    <row r="44" spans="1:33" s="12" customFormat="1" ht="21.95" hidden="1" customHeight="1">
      <c r="A44" s="31">
        <v>43</v>
      </c>
      <c r="B44" s="32">
        <v>12</v>
      </c>
      <c r="C44" s="32">
        <v>22969</v>
      </c>
      <c r="D44" s="32" t="s">
        <v>918</v>
      </c>
      <c r="E44" s="145"/>
      <c r="F44" s="21" t="s">
        <v>918</v>
      </c>
      <c r="G44" s="21" t="e">
        <f>VLOOKUP(P44,'CO F3'!$C$2:$M$108,7,FALSE)</f>
        <v>#N/A</v>
      </c>
      <c r="H44" s="21" t="e">
        <f>VLOOKUP(Q44,'CO F3'!$C$2:$M$108,7,FALSE)</f>
        <v>#N/A</v>
      </c>
      <c r="I44" s="32" t="s">
        <v>697</v>
      </c>
      <c r="J44" s="33"/>
      <c r="K44" s="33" t="s">
        <v>13</v>
      </c>
      <c r="L44" s="33"/>
      <c r="M44" s="33"/>
      <c r="N44" s="33"/>
      <c r="O44" s="33"/>
      <c r="P44" s="32" t="s">
        <v>107</v>
      </c>
      <c r="Q44" s="32" t="s">
        <v>849</v>
      </c>
      <c r="R44" s="42" t="s">
        <v>849</v>
      </c>
      <c r="S44" s="42" t="s">
        <v>88</v>
      </c>
      <c r="T44" s="42" t="s">
        <v>87</v>
      </c>
      <c r="U44" s="34" t="s">
        <v>108</v>
      </c>
      <c r="V44" s="35" t="s">
        <v>41</v>
      </c>
      <c r="W44" s="34">
        <v>2</v>
      </c>
      <c r="X44" s="34"/>
      <c r="Y44" s="34"/>
      <c r="Z44" s="34"/>
      <c r="AA44" s="34">
        <v>1.7000000000000001E-2</v>
      </c>
      <c r="AB44" s="37" t="s">
        <v>17</v>
      </c>
      <c r="AC44" s="34" t="s">
        <v>89</v>
      </c>
      <c r="AD44" s="34" t="s">
        <v>34</v>
      </c>
      <c r="AE44" s="34" t="s">
        <v>20</v>
      </c>
      <c r="AF44" s="34" t="s">
        <v>90</v>
      </c>
      <c r="AG44" s="11"/>
    </row>
    <row r="45" spans="1:33" s="12" customFormat="1" ht="21.95" hidden="1" customHeight="1">
      <c r="A45" s="16">
        <v>44</v>
      </c>
      <c r="B45" s="17">
        <v>12</v>
      </c>
      <c r="C45" s="17">
        <v>22969</v>
      </c>
      <c r="D45" s="17" t="s">
        <v>918</v>
      </c>
      <c r="E45" s="143"/>
      <c r="F45" s="21" t="s">
        <v>918</v>
      </c>
      <c r="G45" s="21" t="e">
        <f>VLOOKUP(P45,'CO F3'!$C$2:$M$108,7,FALSE)</f>
        <v>#N/A</v>
      </c>
      <c r="H45" s="21" t="e">
        <f>VLOOKUP(Q45,'CO F3'!$C$2:$M$108,7,FALSE)</f>
        <v>#N/A</v>
      </c>
      <c r="I45" s="17" t="s">
        <v>697</v>
      </c>
      <c r="J45" s="18"/>
      <c r="K45" s="18"/>
      <c r="L45" s="18" t="s">
        <v>13</v>
      </c>
      <c r="M45" s="18"/>
      <c r="N45" s="18"/>
      <c r="O45" s="18"/>
      <c r="P45" s="17" t="s">
        <v>109</v>
      </c>
      <c r="Q45" s="17" t="s">
        <v>864</v>
      </c>
      <c r="R45" s="40" t="s">
        <v>847</v>
      </c>
      <c r="S45" s="40" t="s">
        <v>88</v>
      </c>
      <c r="T45" s="40" t="s">
        <v>107</v>
      </c>
      <c r="U45" s="19" t="s">
        <v>110</v>
      </c>
      <c r="V45" s="13" t="s">
        <v>24</v>
      </c>
      <c r="W45" s="19">
        <v>2</v>
      </c>
      <c r="X45" s="19" t="s">
        <v>462</v>
      </c>
      <c r="Y45" s="19" t="s">
        <v>38</v>
      </c>
      <c r="Z45" s="19">
        <v>1.5</v>
      </c>
      <c r="AA45" s="19">
        <v>0.04</v>
      </c>
      <c r="AB45" s="37" t="s">
        <v>17</v>
      </c>
      <c r="AC45" s="19" t="s">
        <v>89</v>
      </c>
      <c r="AD45" s="19" t="s">
        <v>34</v>
      </c>
      <c r="AE45" s="19" t="s">
        <v>20</v>
      </c>
      <c r="AF45" s="19" t="s">
        <v>90</v>
      </c>
      <c r="AG45" s="11"/>
    </row>
    <row r="46" spans="1:33" s="12" customFormat="1" ht="21.95" hidden="1" customHeight="1">
      <c r="A46" s="24">
        <v>45</v>
      </c>
      <c r="B46" s="25">
        <v>12</v>
      </c>
      <c r="C46" s="25">
        <v>22969</v>
      </c>
      <c r="D46" s="25" t="s">
        <v>918</v>
      </c>
      <c r="E46" s="144"/>
      <c r="F46" s="21" t="s">
        <v>917</v>
      </c>
      <c r="G46" s="21" t="e">
        <f>VLOOKUP(P46,'CO F3'!$C$2:$M$108,7,FALSE)</f>
        <v>#N/A</v>
      </c>
      <c r="H46" s="21" t="e">
        <f>VLOOKUP(Q46,'CO F3'!$C$2:$M$108,7,FALSE)</f>
        <v>#N/A</v>
      </c>
      <c r="I46" s="25" t="s">
        <v>697</v>
      </c>
      <c r="J46" s="26"/>
      <c r="K46" s="26"/>
      <c r="L46" s="26" t="s">
        <v>13</v>
      </c>
      <c r="M46" s="26"/>
      <c r="N46" s="26"/>
      <c r="O46" s="26"/>
      <c r="P46" s="25">
        <v>7703042121</v>
      </c>
      <c r="Q46" s="25" t="s">
        <v>864</v>
      </c>
      <c r="R46" s="41" t="s">
        <v>852</v>
      </c>
      <c r="S46" s="41" t="s">
        <v>88</v>
      </c>
      <c r="T46" s="41" t="s">
        <v>107</v>
      </c>
      <c r="U46" s="27" t="s">
        <v>111</v>
      </c>
      <c r="V46" s="15" t="s">
        <v>29</v>
      </c>
      <c r="W46" s="27">
        <v>2</v>
      </c>
      <c r="X46" s="27"/>
      <c r="Y46" s="27"/>
      <c r="Z46" s="27"/>
      <c r="AA46" s="27">
        <v>7.0000000000000001E-3</v>
      </c>
      <c r="AB46" s="38" t="s">
        <v>30</v>
      </c>
      <c r="AC46" s="27" t="s">
        <v>89</v>
      </c>
      <c r="AD46" s="27" t="s">
        <v>34</v>
      </c>
      <c r="AE46" s="27" t="s">
        <v>20</v>
      </c>
      <c r="AF46" s="27" t="s">
        <v>90</v>
      </c>
      <c r="AG46" s="11"/>
    </row>
    <row r="47" spans="1:33" s="12" customFormat="1" ht="21.95" hidden="1" customHeight="1">
      <c r="A47" s="31">
        <v>46</v>
      </c>
      <c r="B47" s="32">
        <v>12</v>
      </c>
      <c r="C47" s="32">
        <v>22969</v>
      </c>
      <c r="D47" s="32" t="s">
        <v>918</v>
      </c>
      <c r="E47" s="145"/>
      <c r="F47" s="21" t="s">
        <v>917</v>
      </c>
      <c r="G47" s="21" t="str">
        <f>VLOOKUP(P47,'CO F3'!$C$2:$M$108,7,FALSE)</f>
        <v>CELIKFORM OTOMOTIV AS</v>
      </c>
      <c r="H47" s="21" t="e">
        <f>VLOOKUP(Q47,'CO F3'!$C$2:$M$108,7,FALSE)</f>
        <v>#N/A</v>
      </c>
      <c r="I47" s="32" t="s">
        <v>697</v>
      </c>
      <c r="J47" s="33"/>
      <c r="K47" s="33" t="s">
        <v>13</v>
      </c>
      <c r="L47" s="33"/>
      <c r="M47" s="33"/>
      <c r="N47" s="33"/>
      <c r="O47" s="33"/>
      <c r="P47" s="32" t="s">
        <v>909</v>
      </c>
      <c r="Q47" s="207" t="s">
        <v>1126</v>
      </c>
      <c r="R47" s="42">
        <v>1</v>
      </c>
      <c r="S47" s="42" t="s">
        <v>88</v>
      </c>
      <c r="T47" s="42" t="s">
        <v>87</v>
      </c>
      <c r="U47" s="34" t="s">
        <v>900</v>
      </c>
      <c r="V47" s="35" t="s">
        <v>41</v>
      </c>
      <c r="W47" s="34">
        <v>2</v>
      </c>
      <c r="X47" s="34"/>
      <c r="Y47" s="34"/>
      <c r="Z47" s="34"/>
      <c r="AA47" s="34"/>
      <c r="AB47" s="38" t="s">
        <v>30</v>
      </c>
      <c r="AC47" s="34" t="s">
        <v>89</v>
      </c>
      <c r="AD47" s="34" t="s">
        <v>34</v>
      </c>
      <c r="AE47" s="34" t="s">
        <v>20</v>
      </c>
      <c r="AF47" s="34" t="s">
        <v>90</v>
      </c>
      <c r="AG47" s="11"/>
    </row>
    <row r="48" spans="1:33" s="12" customFormat="1" ht="21.95" hidden="1" customHeight="1">
      <c r="A48" s="16">
        <v>47</v>
      </c>
      <c r="B48" s="17">
        <v>12</v>
      </c>
      <c r="C48" s="17">
        <v>22969</v>
      </c>
      <c r="D48" s="17" t="s">
        <v>918</v>
      </c>
      <c r="E48" s="143"/>
      <c r="F48" s="21" t="s">
        <v>917</v>
      </c>
      <c r="G48" s="21" t="e">
        <f>VLOOKUP(P48,'CO F3'!$C$2:$M$108,7,FALSE)</f>
        <v>#N/A</v>
      </c>
      <c r="H48" s="21" t="e">
        <f>VLOOKUP(Q48,'CO F3'!$C$2:$M$108,7,FALSE)</f>
        <v>#N/A</v>
      </c>
      <c r="I48" s="17" t="s">
        <v>697</v>
      </c>
      <c r="J48" s="18"/>
      <c r="K48" s="18"/>
      <c r="L48" s="18" t="s">
        <v>13</v>
      </c>
      <c r="M48" s="18"/>
      <c r="N48" s="18"/>
      <c r="O48" s="18"/>
      <c r="P48" s="17" t="s">
        <v>1125</v>
      </c>
      <c r="Q48" s="97" t="s">
        <v>1127</v>
      </c>
      <c r="R48" s="40">
        <v>1</v>
      </c>
      <c r="S48" s="40" t="s">
        <v>88</v>
      </c>
      <c r="T48" s="40" t="s">
        <v>909</v>
      </c>
      <c r="U48" s="19" t="s">
        <v>1122</v>
      </c>
      <c r="V48" s="13" t="s">
        <v>24</v>
      </c>
      <c r="W48" s="19">
        <v>2</v>
      </c>
      <c r="X48" s="19" t="s">
        <v>1124</v>
      </c>
      <c r="Y48" s="19" t="s">
        <v>38</v>
      </c>
      <c r="Z48" s="19">
        <v>2.2000000000000002</v>
      </c>
      <c r="AA48" s="19">
        <v>6.2E-2</v>
      </c>
      <c r="AB48" s="38" t="s">
        <v>30</v>
      </c>
      <c r="AC48" s="19" t="s">
        <v>89</v>
      </c>
      <c r="AD48" s="19" t="s">
        <v>34</v>
      </c>
      <c r="AE48" s="19" t="s">
        <v>20</v>
      </c>
      <c r="AF48" s="19" t="s">
        <v>90</v>
      </c>
      <c r="AG48" s="11"/>
    </row>
    <row r="49" spans="1:33" s="12" customFormat="1" ht="21.95" hidden="1" customHeight="1">
      <c r="A49" s="24">
        <v>48</v>
      </c>
      <c r="B49" s="25">
        <v>12</v>
      </c>
      <c r="C49" s="25">
        <v>22969</v>
      </c>
      <c r="D49" s="25" t="s">
        <v>918</v>
      </c>
      <c r="E49" s="144"/>
      <c r="F49" s="21" t="s">
        <v>917</v>
      </c>
      <c r="G49" s="21" t="e">
        <f>VLOOKUP(P49,'CO F3'!$C$2:$M$108,7,FALSE)</f>
        <v>#N/A</v>
      </c>
      <c r="H49" s="21" t="e">
        <f>VLOOKUP(Q49,'CO F3'!$C$2:$M$108,7,FALSE)</f>
        <v>#N/A</v>
      </c>
      <c r="I49" s="25" t="s">
        <v>697</v>
      </c>
      <c r="J49" s="26"/>
      <c r="K49" s="26"/>
      <c r="L49" s="26" t="s">
        <v>13</v>
      </c>
      <c r="M49" s="26"/>
      <c r="N49" s="26"/>
      <c r="O49" s="26"/>
      <c r="P49" s="25">
        <v>7703042108</v>
      </c>
      <c r="Q49" s="25" t="s">
        <v>863</v>
      </c>
      <c r="R49" s="41">
        <v>3</v>
      </c>
      <c r="S49" s="41" t="s">
        <v>88</v>
      </c>
      <c r="T49" s="41" t="s">
        <v>909</v>
      </c>
      <c r="U49" s="27" t="s">
        <v>1123</v>
      </c>
      <c r="V49" s="15" t="s">
        <v>29</v>
      </c>
      <c r="W49" s="27">
        <v>2</v>
      </c>
      <c r="X49" s="27"/>
      <c r="Y49" s="27"/>
      <c r="Z49" s="27"/>
      <c r="AA49" s="27">
        <v>0.05</v>
      </c>
      <c r="AB49" s="38" t="s">
        <v>30</v>
      </c>
      <c r="AC49" s="27" t="s">
        <v>89</v>
      </c>
      <c r="AD49" s="27" t="s">
        <v>34</v>
      </c>
      <c r="AE49" s="27" t="s">
        <v>20</v>
      </c>
      <c r="AF49" s="27" t="s">
        <v>90</v>
      </c>
      <c r="AG49" s="11"/>
    </row>
    <row r="50" spans="1:33" s="12" customFormat="1" ht="21.95" hidden="1" customHeight="1">
      <c r="A50" s="20">
        <v>49</v>
      </c>
      <c r="B50" s="21">
        <v>12</v>
      </c>
      <c r="C50" s="30">
        <v>22969</v>
      </c>
      <c r="D50" s="21" t="s">
        <v>918</v>
      </c>
      <c r="E50" s="142"/>
      <c r="F50" s="21" t="s">
        <v>918</v>
      </c>
      <c r="G50" s="21" t="s">
        <v>918</v>
      </c>
      <c r="H50" s="21" t="s">
        <v>918</v>
      </c>
      <c r="I50" s="21" t="s">
        <v>697</v>
      </c>
      <c r="J50" s="22" t="s">
        <v>13</v>
      </c>
      <c r="K50" s="22"/>
      <c r="L50" s="22"/>
      <c r="M50" s="22"/>
      <c r="N50" s="22"/>
      <c r="O50" s="22"/>
      <c r="P50" s="21" t="s">
        <v>112</v>
      </c>
      <c r="Q50" s="21" t="s">
        <v>861</v>
      </c>
      <c r="R50" s="39" t="s">
        <v>847</v>
      </c>
      <c r="S50" s="39" t="s">
        <v>113</v>
      </c>
      <c r="T50" s="39"/>
      <c r="U50" s="23" t="s">
        <v>113</v>
      </c>
      <c r="V50" s="14" t="s">
        <v>16</v>
      </c>
      <c r="W50" s="23">
        <v>1</v>
      </c>
      <c r="X50" s="23"/>
      <c r="Y50" s="23"/>
      <c r="Z50" s="23"/>
      <c r="AA50" s="23">
        <v>5.84</v>
      </c>
      <c r="AB50" s="37" t="s">
        <v>17</v>
      </c>
      <c r="AC50" s="23" t="s">
        <v>89</v>
      </c>
      <c r="AD50" s="23" t="s">
        <v>19</v>
      </c>
      <c r="AE50" s="23" t="s">
        <v>20</v>
      </c>
      <c r="AF50" s="23" t="s">
        <v>90</v>
      </c>
      <c r="AG50" s="11"/>
    </row>
    <row r="51" spans="1:33" s="12" customFormat="1" ht="21.95" hidden="1" customHeight="1">
      <c r="A51" s="16">
        <v>50</v>
      </c>
      <c r="B51" s="17">
        <v>12</v>
      </c>
      <c r="C51" s="29">
        <v>22969</v>
      </c>
      <c r="D51" s="17" t="s">
        <v>918</v>
      </c>
      <c r="E51" s="143"/>
      <c r="F51" s="21" t="s">
        <v>918</v>
      </c>
      <c r="G51" s="21" t="e">
        <f>VLOOKUP(P51,'CO F3'!$C$2:$M$108,7,FALSE)</f>
        <v>#N/A</v>
      </c>
      <c r="H51" s="21" t="e">
        <f>VLOOKUP(Q51,'CO F3'!$C$2:$M$108,7,FALSE)</f>
        <v>#N/A</v>
      </c>
      <c r="I51" s="17" t="s">
        <v>697</v>
      </c>
      <c r="J51" s="18"/>
      <c r="K51" s="18" t="s">
        <v>13</v>
      </c>
      <c r="L51" s="18"/>
      <c r="M51" s="18"/>
      <c r="N51" s="18"/>
      <c r="O51" s="18"/>
      <c r="P51" s="17" t="s">
        <v>114</v>
      </c>
      <c r="Q51" s="17" t="s">
        <v>866</v>
      </c>
      <c r="R51" s="40" t="s">
        <v>847</v>
      </c>
      <c r="S51" s="40" t="s">
        <v>113</v>
      </c>
      <c r="T51" s="40" t="s">
        <v>112</v>
      </c>
      <c r="U51" s="19" t="s">
        <v>115</v>
      </c>
      <c r="V51" s="13" t="s">
        <v>24</v>
      </c>
      <c r="W51" s="19">
        <v>1</v>
      </c>
      <c r="X51" s="19" t="s">
        <v>548</v>
      </c>
      <c r="Y51" s="19" t="s">
        <v>93</v>
      </c>
      <c r="Z51" s="19">
        <v>1.74</v>
      </c>
      <c r="AA51" s="19">
        <v>1.74</v>
      </c>
      <c r="AB51" s="37" t="s">
        <v>17</v>
      </c>
      <c r="AC51" s="19" t="s">
        <v>89</v>
      </c>
      <c r="AD51" s="19" t="s">
        <v>19</v>
      </c>
      <c r="AE51" s="19" t="s">
        <v>20</v>
      </c>
      <c r="AF51" s="19" t="s">
        <v>90</v>
      </c>
      <c r="AG51" s="11"/>
    </row>
    <row r="52" spans="1:33" s="12" customFormat="1" ht="21.95" hidden="1" customHeight="1">
      <c r="A52" s="31">
        <v>51</v>
      </c>
      <c r="B52" s="32">
        <v>12</v>
      </c>
      <c r="C52" s="36">
        <v>22969</v>
      </c>
      <c r="D52" s="32" t="s">
        <v>918</v>
      </c>
      <c r="E52" s="145"/>
      <c r="F52" s="21" t="s">
        <v>918</v>
      </c>
      <c r="G52" s="21" t="e">
        <f>VLOOKUP(P52,'CO F3'!$C$2:$M$108,7,FALSE)</f>
        <v>#N/A</v>
      </c>
      <c r="H52" s="21" t="e">
        <f>VLOOKUP(Q52,'CO F3'!$C$2:$M$108,7,FALSE)</f>
        <v>#N/A</v>
      </c>
      <c r="I52" s="32" t="s">
        <v>697</v>
      </c>
      <c r="J52" s="33"/>
      <c r="K52" s="33" t="s">
        <v>13</v>
      </c>
      <c r="L52" s="33"/>
      <c r="M52" s="33"/>
      <c r="N52" s="33"/>
      <c r="O52" s="33"/>
      <c r="P52" s="32" t="s">
        <v>116</v>
      </c>
      <c r="Q52" s="32" t="s">
        <v>849</v>
      </c>
      <c r="R52" s="42" t="s">
        <v>849</v>
      </c>
      <c r="S52" s="42" t="s">
        <v>113</v>
      </c>
      <c r="T52" s="42" t="s">
        <v>112</v>
      </c>
      <c r="U52" s="34" t="s">
        <v>117</v>
      </c>
      <c r="V52" s="35" t="s">
        <v>41</v>
      </c>
      <c r="W52" s="34">
        <v>1</v>
      </c>
      <c r="X52" s="34"/>
      <c r="Y52" s="34"/>
      <c r="Z52" s="34">
        <v>1.26</v>
      </c>
      <c r="AA52" s="34">
        <v>1.26</v>
      </c>
      <c r="AB52" s="37" t="s">
        <v>17</v>
      </c>
      <c r="AC52" s="34" t="s">
        <v>89</v>
      </c>
      <c r="AD52" s="34" t="s">
        <v>19</v>
      </c>
      <c r="AE52" s="34" t="s">
        <v>20</v>
      </c>
      <c r="AF52" s="34" t="s">
        <v>90</v>
      </c>
      <c r="AG52" s="11"/>
    </row>
    <row r="53" spans="1:33" s="12" customFormat="1" ht="21.95" hidden="1" customHeight="1">
      <c r="A53" s="16">
        <v>52</v>
      </c>
      <c r="B53" s="17">
        <v>12</v>
      </c>
      <c r="C53" s="29">
        <v>22969</v>
      </c>
      <c r="D53" s="17" t="s">
        <v>918</v>
      </c>
      <c r="E53" s="143"/>
      <c r="F53" s="21" t="s">
        <v>918</v>
      </c>
      <c r="G53" s="21" t="e">
        <f>VLOOKUP(P53,'CO F3'!$C$2:$M$108,7,FALSE)</f>
        <v>#N/A</v>
      </c>
      <c r="H53" s="21" t="e">
        <f>VLOOKUP(Q53,'CO F3'!$C$2:$M$108,7,FALSE)</f>
        <v>#N/A</v>
      </c>
      <c r="I53" s="17" t="s">
        <v>697</v>
      </c>
      <c r="J53" s="18"/>
      <c r="K53" s="18"/>
      <c r="L53" s="18" t="s">
        <v>13</v>
      </c>
      <c r="M53" s="18"/>
      <c r="N53" s="18"/>
      <c r="O53" s="18"/>
      <c r="P53" s="17" t="s">
        <v>118</v>
      </c>
      <c r="Q53" s="17" t="s">
        <v>863</v>
      </c>
      <c r="R53" s="40" t="s">
        <v>852</v>
      </c>
      <c r="S53" s="40" t="s">
        <v>113</v>
      </c>
      <c r="T53" s="40" t="s">
        <v>116</v>
      </c>
      <c r="U53" s="19" t="s">
        <v>97</v>
      </c>
      <c r="V53" s="13" t="s">
        <v>24</v>
      </c>
      <c r="W53" s="19">
        <v>1</v>
      </c>
      <c r="X53" s="19" t="s">
        <v>809</v>
      </c>
      <c r="Y53" s="19" t="s">
        <v>93</v>
      </c>
      <c r="Z53" s="19">
        <v>0.87</v>
      </c>
      <c r="AA53" s="19">
        <v>0.87</v>
      </c>
      <c r="AB53" s="37" t="s">
        <v>17</v>
      </c>
      <c r="AC53" s="19" t="s">
        <v>89</v>
      </c>
      <c r="AD53" s="19" t="s">
        <v>19</v>
      </c>
      <c r="AE53" s="19" t="s">
        <v>20</v>
      </c>
      <c r="AF53" s="19" t="s">
        <v>90</v>
      </c>
      <c r="AG53" s="11"/>
    </row>
    <row r="54" spans="1:33" s="12" customFormat="1" ht="21.95" hidden="1" customHeight="1">
      <c r="A54" s="16">
        <v>53</v>
      </c>
      <c r="B54" s="17">
        <v>12</v>
      </c>
      <c r="C54" s="29">
        <v>22969</v>
      </c>
      <c r="D54" s="17" t="s">
        <v>918</v>
      </c>
      <c r="E54" s="143"/>
      <c r="F54" s="21" t="s">
        <v>918</v>
      </c>
      <c r="G54" s="21" t="e">
        <f>VLOOKUP(P54,'CO F3'!$C$2:$M$108,7,FALSE)</f>
        <v>#N/A</v>
      </c>
      <c r="H54" s="21" t="e">
        <f>VLOOKUP(Q54,'CO F3'!$C$2:$M$108,7,FALSE)</f>
        <v>#N/A</v>
      </c>
      <c r="I54" s="17" t="s">
        <v>697</v>
      </c>
      <c r="J54" s="18"/>
      <c r="K54" s="18"/>
      <c r="L54" s="18" t="s">
        <v>13</v>
      </c>
      <c r="M54" s="18"/>
      <c r="N54" s="18"/>
      <c r="O54" s="18"/>
      <c r="P54" s="17" t="s">
        <v>119</v>
      </c>
      <c r="Q54" s="17" t="s">
        <v>862</v>
      </c>
      <c r="R54" s="40" t="s">
        <v>847</v>
      </c>
      <c r="S54" s="40" t="s">
        <v>113</v>
      </c>
      <c r="T54" s="40" t="s">
        <v>116</v>
      </c>
      <c r="U54" s="19" t="s">
        <v>48</v>
      </c>
      <c r="V54" s="13" t="s">
        <v>24</v>
      </c>
      <c r="W54" s="19">
        <v>1</v>
      </c>
      <c r="X54" s="19" t="s">
        <v>834</v>
      </c>
      <c r="Y54" s="19" t="s">
        <v>93</v>
      </c>
      <c r="Z54" s="19">
        <v>0.39</v>
      </c>
      <c r="AA54" s="19">
        <v>0.39</v>
      </c>
      <c r="AB54" s="37" t="s">
        <v>17</v>
      </c>
      <c r="AC54" s="19" t="s">
        <v>89</v>
      </c>
      <c r="AD54" s="19" t="s">
        <v>19</v>
      </c>
      <c r="AE54" s="19" t="s">
        <v>20</v>
      </c>
      <c r="AF54" s="19" t="s">
        <v>90</v>
      </c>
      <c r="AG54" s="11"/>
    </row>
    <row r="55" spans="1:33" s="12" customFormat="1" ht="21.95" hidden="1" customHeight="1">
      <c r="A55" s="31">
        <v>54</v>
      </c>
      <c r="B55" s="32">
        <v>12</v>
      </c>
      <c r="C55" s="36">
        <v>22969</v>
      </c>
      <c r="D55" s="32" t="s">
        <v>918</v>
      </c>
      <c r="E55" s="145"/>
      <c r="F55" s="21" t="s">
        <v>918</v>
      </c>
      <c r="G55" s="21" t="e">
        <f>VLOOKUP(P55,'CO F3'!$C$2:$M$108,7,FALSE)</f>
        <v>#N/A</v>
      </c>
      <c r="H55" s="21" t="e">
        <f>VLOOKUP(Q55,'CO F3'!$C$2:$M$108,7,FALSE)</f>
        <v>#N/A</v>
      </c>
      <c r="I55" s="32" t="s">
        <v>697</v>
      </c>
      <c r="J55" s="33"/>
      <c r="K55" s="33"/>
      <c r="L55" s="33" t="s">
        <v>13</v>
      </c>
      <c r="M55" s="33"/>
      <c r="N55" s="33"/>
      <c r="O55" s="33"/>
      <c r="P55" s="32" t="s">
        <v>120</v>
      </c>
      <c r="Q55" s="32" t="s">
        <v>849</v>
      </c>
      <c r="R55" s="42" t="s">
        <v>849</v>
      </c>
      <c r="S55" s="42" t="s">
        <v>113</v>
      </c>
      <c r="T55" s="42" t="s">
        <v>116</v>
      </c>
      <c r="U55" s="34" t="s">
        <v>121</v>
      </c>
      <c r="V55" s="35" t="s">
        <v>41</v>
      </c>
      <c r="W55" s="34">
        <v>1</v>
      </c>
      <c r="X55" s="34"/>
      <c r="Y55" s="34"/>
      <c r="Z55" s="34"/>
      <c r="AA55" s="34">
        <v>0</v>
      </c>
      <c r="AB55" s="37" t="s">
        <v>17</v>
      </c>
      <c r="AC55" s="34" t="s">
        <v>89</v>
      </c>
      <c r="AD55" s="34" t="s">
        <v>19</v>
      </c>
      <c r="AE55" s="34" t="s">
        <v>20</v>
      </c>
      <c r="AF55" s="34" t="s">
        <v>90</v>
      </c>
      <c r="AG55" s="11"/>
    </row>
    <row r="56" spans="1:33" s="12" customFormat="1" ht="21.95" hidden="1" customHeight="1">
      <c r="A56" s="16">
        <v>55</v>
      </c>
      <c r="B56" s="17">
        <v>12</v>
      </c>
      <c r="C56" s="29">
        <v>22969</v>
      </c>
      <c r="D56" s="17" t="s">
        <v>918</v>
      </c>
      <c r="E56" s="143"/>
      <c r="F56" s="21" t="s">
        <v>918</v>
      </c>
      <c r="G56" s="21" t="e">
        <f>VLOOKUP(P56,'CO F3'!$C$2:$M$108,7,FALSE)</f>
        <v>#N/A</v>
      </c>
      <c r="H56" s="21" t="e">
        <f>VLOOKUP(Q56,'CO F3'!$C$2:$M$108,7,FALSE)</f>
        <v>#N/A</v>
      </c>
      <c r="I56" s="17" t="s">
        <v>697</v>
      </c>
      <c r="J56" s="18"/>
      <c r="K56" s="18"/>
      <c r="L56" s="18"/>
      <c r="M56" s="18" t="s">
        <v>13</v>
      </c>
      <c r="N56" s="18"/>
      <c r="O56" s="18"/>
      <c r="P56" s="17" t="s">
        <v>122</v>
      </c>
      <c r="Q56" s="17" t="s">
        <v>863</v>
      </c>
      <c r="R56" s="40" t="s">
        <v>851</v>
      </c>
      <c r="S56" s="40" t="s">
        <v>113</v>
      </c>
      <c r="T56" s="40" t="s">
        <v>120</v>
      </c>
      <c r="U56" s="19" t="s">
        <v>123</v>
      </c>
      <c r="V56" s="13" t="s">
        <v>24</v>
      </c>
      <c r="W56" s="19">
        <v>1</v>
      </c>
      <c r="X56" s="19" t="s">
        <v>833</v>
      </c>
      <c r="Y56" s="19" t="s">
        <v>93</v>
      </c>
      <c r="Z56" s="19">
        <v>0.36</v>
      </c>
      <c r="AA56" s="19">
        <v>0.36</v>
      </c>
      <c r="AB56" s="37" t="s">
        <v>17</v>
      </c>
      <c r="AC56" s="19" t="s">
        <v>89</v>
      </c>
      <c r="AD56" s="19" t="s">
        <v>19</v>
      </c>
      <c r="AE56" s="19" t="s">
        <v>20</v>
      </c>
      <c r="AF56" s="19" t="s">
        <v>90</v>
      </c>
      <c r="AG56" s="11"/>
    </row>
    <row r="57" spans="1:33" s="12" customFormat="1" ht="21.95" hidden="1" customHeight="1">
      <c r="A57" s="24">
        <v>56</v>
      </c>
      <c r="B57" s="25">
        <v>12</v>
      </c>
      <c r="C57" s="25">
        <v>22969</v>
      </c>
      <c r="D57" s="25" t="s">
        <v>918</v>
      </c>
      <c r="E57" s="144"/>
      <c r="F57" s="21" t="s">
        <v>917</v>
      </c>
      <c r="G57" s="21" t="e">
        <f>VLOOKUP(P57,'CO F3'!$C$2:$M$108,7,FALSE)</f>
        <v>#N/A</v>
      </c>
      <c r="H57" s="21" t="e">
        <f>VLOOKUP(Q57,'CO F3'!$C$2:$M$108,7,FALSE)</f>
        <v>#N/A</v>
      </c>
      <c r="I57" s="25" t="s">
        <v>697</v>
      </c>
      <c r="J57" s="26"/>
      <c r="K57" s="26"/>
      <c r="L57" s="26"/>
      <c r="M57" s="26" t="s">
        <v>13</v>
      </c>
      <c r="N57" s="26"/>
      <c r="O57" s="26"/>
      <c r="P57" s="25">
        <v>7703043086</v>
      </c>
      <c r="Q57" s="25" t="s">
        <v>849</v>
      </c>
      <c r="R57" s="41" t="s">
        <v>849</v>
      </c>
      <c r="S57" s="41" t="s">
        <v>113</v>
      </c>
      <c r="T57" s="41" t="s">
        <v>120</v>
      </c>
      <c r="U57" s="27" t="s">
        <v>104</v>
      </c>
      <c r="V57" s="15" t="s">
        <v>29</v>
      </c>
      <c r="W57" s="27">
        <v>1</v>
      </c>
      <c r="X57" s="27"/>
      <c r="Y57" s="27"/>
      <c r="Z57" s="27">
        <v>0.03</v>
      </c>
      <c r="AA57" s="27">
        <v>0.03</v>
      </c>
      <c r="AB57" s="38" t="s">
        <v>30</v>
      </c>
      <c r="AC57" s="27" t="s">
        <v>89</v>
      </c>
      <c r="AD57" s="27" t="s">
        <v>19</v>
      </c>
      <c r="AE57" s="27" t="s">
        <v>20</v>
      </c>
      <c r="AF57" s="27" t="s">
        <v>90</v>
      </c>
      <c r="AG57" s="11"/>
    </row>
    <row r="58" spans="1:33" s="12" customFormat="1" ht="21.95" hidden="1" customHeight="1">
      <c r="A58" s="16">
        <v>57</v>
      </c>
      <c r="B58" s="17">
        <v>12</v>
      </c>
      <c r="C58" s="17">
        <v>22969</v>
      </c>
      <c r="D58" s="17" t="s">
        <v>918</v>
      </c>
      <c r="E58" s="143"/>
      <c r="F58" s="21" t="s">
        <v>918</v>
      </c>
      <c r="G58" s="21" t="e">
        <f>VLOOKUP(P58,'CO F3'!$C$2:$M$108,7,FALSE)</f>
        <v>#N/A</v>
      </c>
      <c r="H58" s="21" t="e">
        <f>VLOOKUP(Q58,'CO F3'!$C$2:$M$108,7,FALSE)</f>
        <v>#N/A</v>
      </c>
      <c r="I58" s="17" t="s">
        <v>697</v>
      </c>
      <c r="J58" s="18"/>
      <c r="K58" s="18" t="s">
        <v>13</v>
      </c>
      <c r="L58" s="18"/>
      <c r="M58" s="18"/>
      <c r="N58" s="18"/>
      <c r="O58" s="18"/>
      <c r="P58" s="17" t="s">
        <v>124</v>
      </c>
      <c r="Q58" s="17" t="s">
        <v>866</v>
      </c>
      <c r="R58" s="40" t="s">
        <v>847</v>
      </c>
      <c r="S58" s="40" t="s">
        <v>113</v>
      </c>
      <c r="T58" s="40" t="s">
        <v>112</v>
      </c>
      <c r="U58" s="19" t="s">
        <v>106</v>
      </c>
      <c r="V58" s="13" t="s">
        <v>24</v>
      </c>
      <c r="W58" s="19">
        <v>1</v>
      </c>
      <c r="X58" s="19" t="s">
        <v>462</v>
      </c>
      <c r="Y58" s="19" t="s">
        <v>93</v>
      </c>
      <c r="Z58" s="19">
        <v>0.97</v>
      </c>
      <c r="AA58" s="19">
        <v>0.97</v>
      </c>
      <c r="AB58" s="37" t="s">
        <v>17</v>
      </c>
      <c r="AC58" s="19" t="s">
        <v>89</v>
      </c>
      <c r="AD58" s="19" t="s">
        <v>19</v>
      </c>
      <c r="AE58" s="19" t="s">
        <v>20</v>
      </c>
      <c r="AF58" s="19" t="s">
        <v>90</v>
      </c>
      <c r="AG58" s="11"/>
    </row>
    <row r="59" spans="1:33" s="12" customFormat="1" ht="21.95" hidden="1" customHeight="1">
      <c r="A59" s="31">
        <v>58</v>
      </c>
      <c r="B59" s="32">
        <v>12</v>
      </c>
      <c r="C59" s="32">
        <v>22969</v>
      </c>
      <c r="D59" s="32" t="s">
        <v>918</v>
      </c>
      <c r="E59" s="145"/>
      <c r="F59" s="21" t="s">
        <v>918</v>
      </c>
      <c r="G59" s="21" t="e">
        <f>VLOOKUP(P59,'CO F3'!$C$2:$M$108,7,FALSE)</f>
        <v>#N/A</v>
      </c>
      <c r="H59" s="21" t="e">
        <f>VLOOKUP(Q59,'CO F3'!$C$2:$M$108,7,FALSE)</f>
        <v>#N/A</v>
      </c>
      <c r="I59" s="32" t="s">
        <v>697</v>
      </c>
      <c r="J59" s="33"/>
      <c r="K59" s="33" t="s">
        <v>13</v>
      </c>
      <c r="L59" s="33"/>
      <c r="M59" s="33"/>
      <c r="N59" s="33"/>
      <c r="O59" s="33"/>
      <c r="P59" s="32" t="s">
        <v>125</v>
      </c>
      <c r="Q59" s="32" t="s">
        <v>849</v>
      </c>
      <c r="R59" s="42" t="s">
        <v>849</v>
      </c>
      <c r="S59" s="42" t="s">
        <v>113</v>
      </c>
      <c r="T59" s="42" t="s">
        <v>112</v>
      </c>
      <c r="U59" s="34" t="s">
        <v>126</v>
      </c>
      <c r="V59" s="35" t="s">
        <v>41</v>
      </c>
      <c r="W59" s="34">
        <v>1</v>
      </c>
      <c r="X59" s="34"/>
      <c r="Y59" s="34"/>
      <c r="Z59" s="34"/>
      <c r="AA59" s="34">
        <v>0</v>
      </c>
      <c r="AB59" s="37" t="s">
        <v>17</v>
      </c>
      <c r="AC59" s="34" t="s">
        <v>89</v>
      </c>
      <c r="AD59" s="34" t="s">
        <v>19</v>
      </c>
      <c r="AE59" s="34" t="s">
        <v>20</v>
      </c>
      <c r="AF59" s="34" t="s">
        <v>90</v>
      </c>
      <c r="AG59" s="11"/>
    </row>
    <row r="60" spans="1:33" s="12" customFormat="1" ht="21.95" hidden="1" customHeight="1">
      <c r="A60" s="16">
        <v>59</v>
      </c>
      <c r="B60" s="17">
        <v>12</v>
      </c>
      <c r="C60" s="17">
        <v>22969</v>
      </c>
      <c r="D60" s="17" t="s">
        <v>918</v>
      </c>
      <c r="E60" s="143"/>
      <c r="F60" s="21" t="s">
        <v>918</v>
      </c>
      <c r="G60" s="21" t="e">
        <f>VLOOKUP(P60,'CO F3'!$C$2:$M$108,7,FALSE)</f>
        <v>#N/A</v>
      </c>
      <c r="H60" s="21" t="e">
        <f>VLOOKUP(Q60,'CO F3'!$C$2:$M$108,7,FALSE)</f>
        <v>#N/A</v>
      </c>
      <c r="I60" s="17" t="s">
        <v>697</v>
      </c>
      <c r="J60" s="18"/>
      <c r="K60" s="18"/>
      <c r="L60" s="18" t="s">
        <v>13</v>
      </c>
      <c r="M60" s="18"/>
      <c r="N60" s="18"/>
      <c r="O60" s="18"/>
      <c r="P60" s="17" t="s">
        <v>127</v>
      </c>
      <c r="Q60" s="17" t="s">
        <v>863</v>
      </c>
      <c r="R60" s="40" t="s">
        <v>853</v>
      </c>
      <c r="S60" s="40" t="s">
        <v>113</v>
      </c>
      <c r="T60" s="40" t="s">
        <v>125</v>
      </c>
      <c r="U60" s="19" t="s">
        <v>128</v>
      </c>
      <c r="V60" s="13" t="s">
        <v>24</v>
      </c>
      <c r="W60" s="19">
        <v>1</v>
      </c>
      <c r="X60" s="19" t="s">
        <v>833</v>
      </c>
      <c r="Y60" s="19" t="s">
        <v>93</v>
      </c>
      <c r="Z60" s="19">
        <v>0.16</v>
      </c>
      <c r="AA60" s="19">
        <v>0.16</v>
      </c>
      <c r="AB60" s="37" t="s">
        <v>17</v>
      </c>
      <c r="AC60" s="19" t="s">
        <v>89</v>
      </c>
      <c r="AD60" s="19" t="s">
        <v>19</v>
      </c>
      <c r="AE60" s="19" t="s">
        <v>20</v>
      </c>
      <c r="AF60" s="19" t="s">
        <v>90</v>
      </c>
      <c r="AG60" s="11"/>
    </row>
    <row r="61" spans="1:33" s="12" customFormat="1" ht="21.95" hidden="1" customHeight="1">
      <c r="A61" s="16">
        <v>60</v>
      </c>
      <c r="B61" s="17">
        <v>12</v>
      </c>
      <c r="C61" s="17">
        <v>22969</v>
      </c>
      <c r="D61" s="17" t="s">
        <v>918</v>
      </c>
      <c r="E61" s="143"/>
      <c r="F61" s="21" t="s">
        <v>908</v>
      </c>
      <c r="G61" s="21" t="str">
        <f>VLOOKUP(P61,'CO F3'!$C$2:$M$108,7,FALSE)</f>
        <v xml:space="preserve">GESTAMP </v>
      </c>
      <c r="H61" s="21" t="e">
        <f>VLOOKUP(Q61,'CO F3'!$C$2:$M$108,7,FALSE)</f>
        <v>#N/A</v>
      </c>
      <c r="I61" s="17" t="s">
        <v>697</v>
      </c>
      <c r="J61" s="18"/>
      <c r="K61" s="18"/>
      <c r="L61" s="18" t="s">
        <v>13</v>
      </c>
      <c r="M61" s="18"/>
      <c r="N61" s="18"/>
      <c r="O61" s="18"/>
      <c r="P61" s="17" t="s">
        <v>129</v>
      </c>
      <c r="Q61" s="17" t="s">
        <v>864</v>
      </c>
      <c r="R61" s="40" t="s">
        <v>847</v>
      </c>
      <c r="S61" s="40" t="s">
        <v>113</v>
      </c>
      <c r="T61" s="40" t="s">
        <v>125</v>
      </c>
      <c r="U61" s="19" t="s">
        <v>130</v>
      </c>
      <c r="V61" s="13" t="s">
        <v>24</v>
      </c>
      <c r="W61" s="19">
        <v>1</v>
      </c>
      <c r="X61" s="19" t="s">
        <v>808</v>
      </c>
      <c r="Y61" s="19" t="s">
        <v>61</v>
      </c>
      <c r="Z61" s="19">
        <v>0.06</v>
      </c>
      <c r="AA61" s="19">
        <v>0.06</v>
      </c>
      <c r="AB61" s="38" t="s">
        <v>30</v>
      </c>
      <c r="AC61" s="19" t="s">
        <v>89</v>
      </c>
      <c r="AD61" s="19" t="s">
        <v>19</v>
      </c>
      <c r="AE61" s="19" t="s">
        <v>20</v>
      </c>
      <c r="AF61" s="19" t="s">
        <v>90</v>
      </c>
      <c r="AG61" s="11"/>
    </row>
    <row r="62" spans="1:33" s="12" customFormat="1" ht="21.95" hidden="1" customHeight="1">
      <c r="A62" s="31">
        <v>61</v>
      </c>
      <c r="B62" s="32">
        <v>12</v>
      </c>
      <c r="C62" s="32">
        <v>22969</v>
      </c>
      <c r="D62" s="32" t="s">
        <v>918</v>
      </c>
      <c r="E62" s="145"/>
      <c r="F62" s="21" t="s">
        <v>918</v>
      </c>
      <c r="G62" s="21" t="e">
        <f>VLOOKUP(P62,'CO F3'!$C$2:$M$108,7,FALSE)</f>
        <v>#N/A</v>
      </c>
      <c r="H62" s="21" t="e">
        <f>VLOOKUP(Q62,'CO F3'!$C$2:$M$108,7,FALSE)</f>
        <v>#N/A</v>
      </c>
      <c r="I62" s="32" t="s">
        <v>697</v>
      </c>
      <c r="J62" s="33"/>
      <c r="K62" s="33"/>
      <c r="L62" s="33" t="s">
        <v>13</v>
      </c>
      <c r="M62" s="33"/>
      <c r="N62" s="33"/>
      <c r="O62" s="33"/>
      <c r="P62" s="32" t="s">
        <v>131</v>
      </c>
      <c r="Q62" s="32" t="s">
        <v>849</v>
      </c>
      <c r="R62" s="42" t="s">
        <v>849</v>
      </c>
      <c r="S62" s="42" t="s">
        <v>113</v>
      </c>
      <c r="T62" s="42" t="s">
        <v>125</v>
      </c>
      <c r="U62" s="34" t="s">
        <v>132</v>
      </c>
      <c r="V62" s="35" t="s">
        <v>41</v>
      </c>
      <c r="W62" s="34">
        <v>1</v>
      </c>
      <c r="X62" s="34"/>
      <c r="Y62" s="34"/>
      <c r="Z62" s="34"/>
      <c r="AA62" s="34">
        <v>0.20599999999999999</v>
      </c>
      <c r="AB62" s="37" t="s">
        <v>17</v>
      </c>
      <c r="AC62" s="34" t="s">
        <v>89</v>
      </c>
      <c r="AD62" s="34" t="s">
        <v>19</v>
      </c>
      <c r="AE62" s="34" t="s">
        <v>20</v>
      </c>
      <c r="AF62" s="34" t="s">
        <v>90</v>
      </c>
      <c r="AG62" s="11"/>
    </row>
    <row r="63" spans="1:33" s="12" customFormat="1" ht="21.95" hidden="1" customHeight="1">
      <c r="A63" s="16">
        <v>62</v>
      </c>
      <c r="B63" s="17">
        <v>12</v>
      </c>
      <c r="C63" s="17">
        <v>22969</v>
      </c>
      <c r="D63" s="17" t="s">
        <v>918</v>
      </c>
      <c r="E63" s="143"/>
      <c r="F63" s="21" t="s">
        <v>918</v>
      </c>
      <c r="G63" s="21" t="e">
        <f>VLOOKUP(P63,'CO F3'!$C$2:$M$108,7,FALSE)</f>
        <v>#N/A</v>
      </c>
      <c r="H63" s="21" t="e">
        <f>VLOOKUP(Q63,'CO F3'!$C$2:$M$108,7,FALSE)</f>
        <v>#N/A</v>
      </c>
      <c r="I63" s="17" t="s">
        <v>697</v>
      </c>
      <c r="J63" s="18"/>
      <c r="K63" s="18"/>
      <c r="L63" s="18"/>
      <c r="M63" s="18" t="s">
        <v>13</v>
      </c>
      <c r="N63" s="18"/>
      <c r="O63" s="18"/>
      <c r="P63" s="17" t="s">
        <v>133</v>
      </c>
      <c r="Q63" s="17" t="s">
        <v>849</v>
      </c>
      <c r="R63" s="40" t="s">
        <v>849</v>
      </c>
      <c r="S63" s="40" t="s">
        <v>113</v>
      </c>
      <c r="T63" s="40" t="s">
        <v>131</v>
      </c>
      <c r="U63" s="19" t="s">
        <v>128</v>
      </c>
      <c r="V63" s="13" t="s">
        <v>24</v>
      </c>
      <c r="W63" s="19"/>
      <c r="X63" s="19" t="s">
        <v>199</v>
      </c>
      <c r="Y63" s="19" t="s">
        <v>93</v>
      </c>
      <c r="Z63" s="19">
        <v>0.16</v>
      </c>
      <c r="AA63" s="19">
        <v>0.16</v>
      </c>
      <c r="AB63" s="37" t="s">
        <v>17</v>
      </c>
      <c r="AC63" s="19" t="s">
        <v>89</v>
      </c>
      <c r="AD63" s="19" t="s">
        <v>19</v>
      </c>
      <c r="AE63" s="19" t="s">
        <v>20</v>
      </c>
      <c r="AF63" s="19" t="s">
        <v>90</v>
      </c>
      <c r="AG63" s="11"/>
    </row>
    <row r="64" spans="1:33" s="12" customFormat="1" ht="21.95" hidden="1" customHeight="1">
      <c r="A64" s="16">
        <v>63</v>
      </c>
      <c r="B64" s="17">
        <v>12</v>
      </c>
      <c r="C64" s="17">
        <v>22969</v>
      </c>
      <c r="D64" s="17" t="s">
        <v>918</v>
      </c>
      <c r="E64" s="143"/>
      <c r="F64" s="21" t="s">
        <v>908</v>
      </c>
      <c r="G64" s="21" t="str">
        <f>VLOOKUP(P64,'CO F3'!$C$2:$M$108,7,FALSE)</f>
        <v xml:space="preserve">GESTAMP </v>
      </c>
      <c r="H64" s="21" t="e">
        <f>VLOOKUP(Q64,'CO F3'!$C$2:$M$108,7,FALSE)</f>
        <v>#N/A</v>
      </c>
      <c r="I64" s="17" t="s">
        <v>697</v>
      </c>
      <c r="J64" s="18"/>
      <c r="K64" s="18"/>
      <c r="L64" s="18"/>
      <c r="M64" s="18" t="s">
        <v>13</v>
      </c>
      <c r="N64" s="18"/>
      <c r="O64" s="18"/>
      <c r="P64" s="17" t="s">
        <v>129</v>
      </c>
      <c r="Q64" s="17" t="s">
        <v>864</v>
      </c>
      <c r="R64" s="40" t="s">
        <v>847</v>
      </c>
      <c r="S64" s="40" t="s">
        <v>113</v>
      </c>
      <c r="T64" s="40" t="s">
        <v>131</v>
      </c>
      <c r="U64" s="19" t="s">
        <v>130</v>
      </c>
      <c r="V64" s="13" t="s">
        <v>24</v>
      </c>
      <c r="W64" s="19"/>
      <c r="X64" s="19" t="s">
        <v>808</v>
      </c>
      <c r="Y64" s="19" t="s">
        <v>61</v>
      </c>
      <c r="Z64" s="19">
        <v>0.06</v>
      </c>
      <c r="AA64" s="19">
        <v>0.06</v>
      </c>
      <c r="AB64" s="38" t="s">
        <v>30</v>
      </c>
      <c r="AC64" s="19" t="s">
        <v>89</v>
      </c>
      <c r="AD64" s="19" t="s">
        <v>19</v>
      </c>
      <c r="AE64" s="19" t="s">
        <v>20</v>
      </c>
      <c r="AF64" s="19" t="s">
        <v>90</v>
      </c>
      <c r="AG64" s="11"/>
    </row>
    <row r="65" spans="1:33" s="12" customFormat="1" ht="21.95" hidden="1" customHeight="1">
      <c r="A65" s="31">
        <v>64</v>
      </c>
      <c r="B65" s="32">
        <v>12</v>
      </c>
      <c r="C65" s="32">
        <v>22969</v>
      </c>
      <c r="D65" s="32" t="s">
        <v>918</v>
      </c>
      <c r="E65" s="145"/>
      <c r="F65" s="21" t="s">
        <v>918</v>
      </c>
      <c r="G65" s="21" t="e">
        <f>VLOOKUP(P65,'CO F3'!$C$2:$M$108,7,FALSE)</f>
        <v>#N/A</v>
      </c>
      <c r="H65" s="21" t="e">
        <f>VLOOKUP(Q65,'CO F3'!$C$2:$M$108,7,FALSE)</f>
        <v>#N/A</v>
      </c>
      <c r="I65" s="32" t="s">
        <v>697</v>
      </c>
      <c r="J65" s="33"/>
      <c r="K65" s="33" t="s">
        <v>13</v>
      </c>
      <c r="L65" s="33"/>
      <c r="M65" s="33"/>
      <c r="N65" s="33"/>
      <c r="O65" s="33"/>
      <c r="P65" s="32" t="s">
        <v>107</v>
      </c>
      <c r="Q65" s="32" t="s">
        <v>849</v>
      </c>
      <c r="R65" s="42" t="s">
        <v>849</v>
      </c>
      <c r="S65" s="42" t="s">
        <v>113</v>
      </c>
      <c r="T65" s="42" t="s">
        <v>112</v>
      </c>
      <c r="U65" s="34" t="s">
        <v>108</v>
      </c>
      <c r="V65" s="35" t="s">
        <v>41</v>
      </c>
      <c r="W65" s="34">
        <v>2</v>
      </c>
      <c r="X65" s="34"/>
      <c r="Y65" s="34"/>
      <c r="Z65" s="34"/>
      <c r="AA65" s="34">
        <v>4.7E-2</v>
      </c>
      <c r="AB65" s="37" t="s">
        <v>17</v>
      </c>
      <c r="AC65" s="34" t="s">
        <v>89</v>
      </c>
      <c r="AD65" s="34" t="s">
        <v>19</v>
      </c>
      <c r="AE65" s="34" t="s">
        <v>20</v>
      </c>
      <c r="AF65" s="34" t="s">
        <v>90</v>
      </c>
      <c r="AG65" s="11"/>
    </row>
    <row r="66" spans="1:33" s="12" customFormat="1" ht="21.95" hidden="1" customHeight="1">
      <c r="A66" s="16">
        <v>65</v>
      </c>
      <c r="B66" s="17">
        <v>12</v>
      </c>
      <c r="C66" s="17">
        <v>22969</v>
      </c>
      <c r="D66" s="17" t="s">
        <v>918</v>
      </c>
      <c r="E66" s="143"/>
      <c r="F66" s="21" t="s">
        <v>918</v>
      </c>
      <c r="G66" s="21" t="e">
        <f>VLOOKUP(P66,'CO F3'!$C$2:$M$108,7,FALSE)</f>
        <v>#N/A</v>
      </c>
      <c r="H66" s="21" t="e">
        <f>VLOOKUP(Q66,'CO F3'!$C$2:$M$108,7,FALSE)</f>
        <v>#N/A</v>
      </c>
      <c r="I66" s="17" t="s">
        <v>697</v>
      </c>
      <c r="J66" s="18"/>
      <c r="K66" s="18"/>
      <c r="L66" s="18" t="s">
        <v>13</v>
      </c>
      <c r="M66" s="18"/>
      <c r="N66" s="18"/>
      <c r="O66" s="18"/>
      <c r="P66" s="17" t="s">
        <v>109</v>
      </c>
      <c r="Q66" s="17" t="s">
        <v>864</v>
      </c>
      <c r="R66" s="40" t="s">
        <v>847</v>
      </c>
      <c r="S66" s="40" t="s">
        <v>113</v>
      </c>
      <c r="T66" s="40" t="s">
        <v>107</v>
      </c>
      <c r="U66" s="19" t="s">
        <v>110</v>
      </c>
      <c r="V66" s="13" t="s">
        <v>24</v>
      </c>
      <c r="W66" s="19">
        <v>2</v>
      </c>
      <c r="X66" s="19" t="s">
        <v>462</v>
      </c>
      <c r="Y66" s="19" t="s">
        <v>38</v>
      </c>
      <c r="Z66" s="19"/>
      <c r="AA66" s="19">
        <v>0.04</v>
      </c>
      <c r="AB66" s="37" t="s">
        <v>17</v>
      </c>
      <c r="AC66" s="19" t="s">
        <v>89</v>
      </c>
      <c r="AD66" s="19" t="s">
        <v>19</v>
      </c>
      <c r="AE66" s="19" t="s">
        <v>20</v>
      </c>
      <c r="AF66" s="19" t="s">
        <v>90</v>
      </c>
      <c r="AG66" s="11"/>
    </row>
    <row r="67" spans="1:33" s="12" customFormat="1" ht="21.95" hidden="1" customHeight="1">
      <c r="A67" s="24">
        <v>66</v>
      </c>
      <c r="B67" s="25">
        <v>12</v>
      </c>
      <c r="C67" s="25">
        <v>22969</v>
      </c>
      <c r="D67" s="25" t="s">
        <v>918</v>
      </c>
      <c r="E67" s="144"/>
      <c r="F67" s="21" t="s">
        <v>917</v>
      </c>
      <c r="G67" s="21" t="e">
        <f>VLOOKUP(P67,'CO F3'!$C$2:$M$108,7,FALSE)</f>
        <v>#N/A</v>
      </c>
      <c r="H67" s="21" t="e">
        <f>VLOOKUP(Q67,'CO F3'!$C$2:$M$108,7,FALSE)</f>
        <v>#N/A</v>
      </c>
      <c r="I67" s="25" t="s">
        <v>697</v>
      </c>
      <c r="J67" s="26"/>
      <c r="K67" s="26"/>
      <c r="L67" s="26" t="s">
        <v>13</v>
      </c>
      <c r="M67" s="26"/>
      <c r="N67" s="26"/>
      <c r="O67" s="26"/>
      <c r="P67" s="25">
        <v>7703042121</v>
      </c>
      <c r="Q67" s="25" t="s">
        <v>849</v>
      </c>
      <c r="R67" s="41" t="s">
        <v>849</v>
      </c>
      <c r="S67" s="41" t="s">
        <v>113</v>
      </c>
      <c r="T67" s="41" t="s">
        <v>107</v>
      </c>
      <c r="U67" s="27" t="s">
        <v>111</v>
      </c>
      <c r="V67" s="15" t="s">
        <v>29</v>
      </c>
      <c r="W67" s="27">
        <v>2</v>
      </c>
      <c r="X67" s="27"/>
      <c r="Y67" s="27"/>
      <c r="Z67" s="27"/>
      <c r="AA67" s="27">
        <v>7.0000000000000001E-3</v>
      </c>
      <c r="AB67" s="38" t="s">
        <v>30</v>
      </c>
      <c r="AC67" s="27" t="s">
        <v>89</v>
      </c>
      <c r="AD67" s="27" t="s">
        <v>19</v>
      </c>
      <c r="AE67" s="27" t="s">
        <v>20</v>
      </c>
      <c r="AF67" s="27" t="s">
        <v>90</v>
      </c>
      <c r="AG67" s="11"/>
    </row>
    <row r="68" spans="1:33" s="12" customFormat="1" ht="21.95" hidden="1" customHeight="1">
      <c r="A68" s="31">
        <v>67</v>
      </c>
      <c r="B68" s="32">
        <v>12</v>
      </c>
      <c r="C68" s="32">
        <v>22969</v>
      </c>
      <c r="D68" s="32" t="s">
        <v>918</v>
      </c>
      <c r="E68" s="145"/>
      <c r="F68" s="21" t="s">
        <v>917</v>
      </c>
      <c r="G68" s="21" t="str">
        <f>VLOOKUP(P68,'CO F3'!$C$2:$M$108,7,FALSE)</f>
        <v>CELIKFORM OTOMOTIV AS</v>
      </c>
      <c r="H68" s="21" t="e">
        <f>VLOOKUP(Q68,'CO F3'!$C$2:$M$108,7,FALSE)</f>
        <v>#N/A</v>
      </c>
      <c r="I68" s="32" t="s">
        <v>697</v>
      </c>
      <c r="J68" s="33"/>
      <c r="K68" s="33" t="s">
        <v>13</v>
      </c>
      <c r="L68" s="33"/>
      <c r="M68" s="33"/>
      <c r="N68" s="33"/>
      <c r="O68" s="33"/>
      <c r="P68" s="32" t="s">
        <v>909</v>
      </c>
      <c r="Q68" s="207" t="s">
        <v>1126</v>
      </c>
      <c r="R68" s="42">
        <v>1</v>
      </c>
      <c r="S68" s="42" t="s">
        <v>113</v>
      </c>
      <c r="T68" s="42" t="s">
        <v>112</v>
      </c>
      <c r="U68" s="34" t="s">
        <v>900</v>
      </c>
      <c r="V68" s="35" t="s">
        <v>41</v>
      </c>
      <c r="W68" s="34">
        <v>2</v>
      </c>
      <c r="X68" s="34"/>
      <c r="Y68" s="34"/>
      <c r="Z68" s="34"/>
      <c r="AA68" s="34"/>
      <c r="AB68" s="38" t="s">
        <v>30</v>
      </c>
      <c r="AC68" s="34" t="s">
        <v>89</v>
      </c>
      <c r="AD68" s="34" t="s">
        <v>19</v>
      </c>
      <c r="AE68" s="34" t="s">
        <v>20</v>
      </c>
      <c r="AF68" s="34" t="s">
        <v>90</v>
      </c>
      <c r="AG68" s="11"/>
    </row>
    <row r="69" spans="1:33" s="12" customFormat="1" ht="21.95" hidden="1" customHeight="1">
      <c r="A69" s="16">
        <v>68</v>
      </c>
      <c r="B69" s="17">
        <v>12</v>
      </c>
      <c r="C69" s="17">
        <v>22969</v>
      </c>
      <c r="D69" s="17" t="s">
        <v>918</v>
      </c>
      <c r="E69" s="143"/>
      <c r="F69" s="21" t="s">
        <v>917</v>
      </c>
      <c r="G69" s="21" t="e">
        <f>VLOOKUP(P69,'CO F3'!$C$2:$M$108,7,FALSE)</f>
        <v>#N/A</v>
      </c>
      <c r="H69" s="21" t="e">
        <f>VLOOKUP(Q69,'CO F3'!$C$2:$M$108,7,FALSE)</f>
        <v>#N/A</v>
      </c>
      <c r="I69" s="17" t="s">
        <v>697</v>
      </c>
      <c r="J69" s="18"/>
      <c r="K69" s="18"/>
      <c r="L69" s="18" t="s">
        <v>13</v>
      </c>
      <c r="M69" s="18"/>
      <c r="N69" s="18"/>
      <c r="O69" s="18"/>
      <c r="P69" s="17" t="s">
        <v>1125</v>
      </c>
      <c r="Q69" s="97" t="s">
        <v>1127</v>
      </c>
      <c r="R69" s="40">
        <v>1</v>
      </c>
      <c r="S69" s="40" t="s">
        <v>113</v>
      </c>
      <c r="T69" s="40" t="s">
        <v>909</v>
      </c>
      <c r="U69" s="19" t="s">
        <v>1122</v>
      </c>
      <c r="V69" s="13" t="s">
        <v>24</v>
      </c>
      <c r="W69" s="19">
        <v>2</v>
      </c>
      <c r="X69" s="19" t="s">
        <v>1124</v>
      </c>
      <c r="Y69" s="19" t="s">
        <v>38</v>
      </c>
      <c r="Z69" s="19">
        <v>3.1E-2</v>
      </c>
      <c r="AA69" s="19">
        <v>6.2E-2</v>
      </c>
      <c r="AB69" s="38" t="s">
        <v>30</v>
      </c>
      <c r="AC69" s="19" t="s">
        <v>89</v>
      </c>
      <c r="AD69" s="19" t="s">
        <v>19</v>
      </c>
      <c r="AE69" s="19" t="s">
        <v>20</v>
      </c>
      <c r="AF69" s="19" t="s">
        <v>90</v>
      </c>
      <c r="AG69" s="11"/>
    </row>
    <row r="70" spans="1:33" s="12" customFormat="1" ht="21.95" hidden="1" customHeight="1">
      <c r="A70" s="24">
        <v>69</v>
      </c>
      <c r="B70" s="25">
        <v>12</v>
      </c>
      <c r="C70" s="25">
        <v>22969</v>
      </c>
      <c r="D70" s="25" t="s">
        <v>918</v>
      </c>
      <c r="E70" s="144"/>
      <c r="F70" s="21" t="s">
        <v>917</v>
      </c>
      <c r="G70" s="21" t="e">
        <f>VLOOKUP(P70,'CO F3'!$C$2:$M$108,7,FALSE)</f>
        <v>#N/A</v>
      </c>
      <c r="H70" s="21" t="e">
        <f>VLOOKUP(Q70,'CO F3'!$C$2:$M$108,7,FALSE)</f>
        <v>#N/A</v>
      </c>
      <c r="I70" s="25" t="s">
        <v>697</v>
      </c>
      <c r="J70" s="26"/>
      <c r="K70" s="26"/>
      <c r="L70" s="26" t="s">
        <v>13</v>
      </c>
      <c r="M70" s="26"/>
      <c r="N70" s="26"/>
      <c r="O70" s="26"/>
      <c r="P70" s="25">
        <v>7703042108</v>
      </c>
      <c r="Q70" s="208" t="s">
        <v>1127</v>
      </c>
      <c r="R70" s="41">
        <v>3</v>
      </c>
      <c r="S70" s="41" t="s">
        <v>113</v>
      </c>
      <c r="T70" s="41" t="s">
        <v>909</v>
      </c>
      <c r="U70" s="27" t="s">
        <v>1123</v>
      </c>
      <c r="V70" s="15" t="s">
        <v>29</v>
      </c>
      <c r="W70" s="27">
        <v>2</v>
      </c>
      <c r="X70" s="27"/>
      <c r="Y70" s="27"/>
      <c r="Z70" s="27">
        <v>2.5000000000000001E-2</v>
      </c>
      <c r="AA70" s="27">
        <v>0.05</v>
      </c>
      <c r="AB70" s="38" t="s">
        <v>30</v>
      </c>
      <c r="AC70" s="27" t="s">
        <v>89</v>
      </c>
      <c r="AD70" s="27" t="s">
        <v>19</v>
      </c>
      <c r="AE70" s="27" t="s">
        <v>20</v>
      </c>
      <c r="AF70" s="27" t="s">
        <v>90</v>
      </c>
      <c r="AG70" s="11"/>
    </row>
    <row r="71" spans="1:33" s="12" customFormat="1" ht="21.95" hidden="1" customHeight="1">
      <c r="A71" s="20">
        <v>70</v>
      </c>
      <c r="B71" s="21">
        <v>12</v>
      </c>
      <c r="C71" s="21">
        <v>22969</v>
      </c>
      <c r="D71" s="21" t="s">
        <v>918</v>
      </c>
      <c r="E71" s="142"/>
      <c r="F71" s="21" t="s">
        <v>918</v>
      </c>
      <c r="G71" s="21" t="s">
        <v>918</v>
      </c>
      <c r="H71" s="21" t="s">
        <v>918</v>
      </c>
      <c r="I71" s="21" t="s">
        <v>697</v>
      </c>
      <c r="J71" s="22" t="s">
        <v>13</v>
      </c>
      <c r="K71" s="22"/>
      <c r="L71" s="22"/>
      <c r="M71" s="22"/>
      <c r="N71" s="22"/>
      <c r="O71" s="22"/>
      <c r="P71" s="21" t="s">
        <v>135</v>
      </c>
      <c r="Q71" s="21" t="s">
        <v>861</v>
      </c>
      <c r="R71" s="39" t="s">
        <v>848</v>
      </c>
      <c r="S71" s="39" t="s">
        <v>136</v>
      </c>
      <c r="T71" s="39"/>
      <c r="U71" s="23" t="s">
        <v>136</v>
      </c>
      <c r="V71" s="14" t="s">
        <v>16</v>
      </c>
      <c r="W71" s="23">
        <v>1</v>
      </c>
      <c r="X71" s="23"/>
      <c r="Y71" s="23"/>
      <c r="Z71" s="23"/>
      <c r="AA71" s="23">
        <v>8.825999999999997</v>
      </c>
      <c r="AB71" s="37" t="s">
        <v>17</v>
      </c>
      <c r="AC71" s="23" t="s">
        <v>137</v>
      </c>
      <c r="AD71" s="23" t="s">
        <v>19</v>
      </c>
      <c r="AE71" s="23" t="s">
        <v>20</v>
      </c>
      <c r="AF71" s="23" t="s">
        <v>138</v>
      </c>
      <c r="AG71" s="11"/>
    </row>
    <row r="72" spans="1:33" s="12" customFormat="1" ht="21.95" hidden="1" customHeight="1">
      <c r="A72" s="16">
        <v>71</v>
      </c>
      <c r="B72" s="17">
        <v>12</v>
      </c>
      <c r="C72" s="17">
        <v>22969</v>
      </c>
      <c r="D72" s="17" t="s">
        <v>918</v>
      </c>
      <c r="E72" s="143"/>
      <c r="F72" s="21" t="s">
        <v>884</v>
      </c>
      <c r="G72" s="21" t="str">
        <f>VLOOKUP(P72,'CO F3'!$C$2:$M$108,7,FALSE)</f>
        <v>COSKUNOZ MA SRL ROMANIA</v>
      </c>
      <c r="H72" s="21" t="e">
        <f>VLOOKUP(Q72,'CO F3'!$C$2:$M$108,7,FALSE)</f>
        <v>#N/A</v>
      </c>
      <c r="I72" s="17" t="s">
        <v>697</v>
      </c>
      <c r="J72" s="18"/>
      <c r="K72" s="18" t="s">
        <v>13</v>
      </c>
      <c r="L72" s="18"/>
      <c r="M72" s="18"/>
      <c r="N72" s="18"/>
      <c r="O72" s="18"/>
      <c r="P72" s="17" t="s">
        <v>139</v>
      </c>
      <c r="Q72" s="17" t="s">
        <v>865</v>
      </c>
      <c r="R72" s="40" t="s">
        <v>847</v>
      </c>
      <c r="S72" s="40" t="s">
        <v>136</v>
      </c>
      <c r="T72" s="40" t="s">
        <v>135</v>
      </c>
      <c r="U72" s="19" t="s">
        <v>140</v>
      </c>
      <c r="V72" s="13" t="s">
        <v>24</v>
      </c>
      <c r="W72" s="19">
        <v>1</v>
      </c>
      <c r="X72" s="19" t="s">
        <v>141</v>
      </c>
      <c r="Y72" s="19" t="s">
        <v>134</v>
      </c>
      <c r="Z72" s="19">
        <v>1.2</v>
      </c>
      <c r="AA72" s="19">
        <v>2.766</v>
      </c>
      <c r="AB72" s="38" t="s">
        <v>30</v>
      </c>
      <c r="AC72" s="19" t="s">
        <v>137</v>
      </c>
      <c r="AD72" s="19" t="s">
        <v>19</v>
      </c>
      <c r="AE72" s="19" t="s">
        <v>20</v>
      </c>
      <c r="AF72" s="19" t="s">
        <v>138</v>
      </c>
      <c r="AG72" s="11"/>
    </row>
    <row r="73" spans="1:33" s="12" customFormat="1" ht="21.95" hidden="1" customHeight="1">
      <c r="A73" s="31">
        <v>72</v>
      </c>
      <c r="B73" s="32">
        <v>12</v>
      </c>
      <c r="C73" s="32">
        <v>22969</v>
      </c>
      <c r="D73" s="32" t="s">
        <v>918</v>
      </c>
      <c r="E73" s="145">
        <v>116770</v>
      </c>
      <c r="F73" s="141" t="s">
        <v>923</v>
      </c>
      <c r="G73" s="21" t="str">
        <f>VLOOKUP(P73,'CO F3'!$C$2:$M$108,7,FALSE)</f>
        <v>MUSA PITESTI ROMANIA</v>
      </c>
      <c r="H73" s="21" t="e">
        <f>VLOOKUP(Q73,'CO F3'!$C$2:$M$108,7,FALSE)</f>
        <v>#N/A</v>
      </c>
      <c r="I73" s="32" t="s">
        <v>697</v>
      </c>
      <c r="J73" s="33"/>
      <c r="K73" s="33" t="s">
        <v>13</v>
      </c>
      <c r="L73" s="33"/>
      <c r="M73" s="33"/>
      <c r="N73" s="33"/>
      <c r="O73" s="33"/>
      <c r="P73" s="32" t="s">
        <v>142</v>
      </c>
      <c r="Q73" s="32" t="s">
        <v>861</v>
      </c>
      <c r="R73" s="42" t="s">
        <v>848</v>
      </c>
      <c r="S73" s="42" t="s">
        <v>136</v>
      </c>
      <c r="T73" s="42" t="s">
        <v>135</v>
      </c>
      <c r="U73" s="34" t="s">
        <v>143</v>
      </c>
      <c r="V73" s="35" t="s">
        <v>41</v>
      </c>
      <c r="W73" s="34">
        <v>1</v>
      </c>
      <c r="X73" s="34"/>
      <c r="Y73" s="34"/>
      <c r="Z73" s="34"/>
      <c r="AA73" s="34">
        <v>0</v>
      </c>
      <c r="AB73" s="38" t="s">
        <v>30</v>
      </c>
      <c r="AC73" s="34" t="s">
        <v>137</v>
      </c>
      <c r="AD73" s="34" t="s">
        <v>19</v>
      </c>
      <c r="AE73" s="34" t="s">
        <v>20</v>
      </c>
      <c r="AF73" s="34" t="s">
        <v>138</v>
      </c>
      <c r="AG73" s="11"/>
    </row>
    <row r="74" spans="1:33" s="12" customFormat="1" ht="21.95" hidden="1" customHeight="1">
      <c r="A74" s="16">
        <v>73</v>
      </c>
      <c r="B74" s="17">
        <v>12</v>
      </c>
      <c r="C74" s="17">
        <v>22969</v>
      </c>
      <c r="D74" s="17" t="s">
        <v>918</v>
      </c>
      <c r="E74" s="143">
        <v>116770</v>
      </c>
      <c r="F74" s="141" t="s">
        <v>923</v>
      </c>
      <c r="G74" s="21" t="e">
        <f>VLOOKUP(P74,'CO F3'!$C$2:$M$108,7,FALSE)</f>
        <v>#N/A</v>
      </c>
      <c r="H74" s="21" t="e">
        <f>VLOOKUP(Q74,'CO F3'!$C$2:$M$108,7,FALSE)</f>
        <v>#N/A</v>
      </c>
      <c r="I74" s="17" t="s">
        <v>697</v>
      </c>
      <c r="J74" s="18"/>
      <c r="K74" s="18"/>
      <c r="L74" s="18" t="s">
        <v>13</v>
      </c>
      <c r="M74" s="18"/>
      <c r="N74" s="18"/>
      <c r="O74" s="18"/>
      <c r="P74" s="17" t="s">
        <v>144</v>
      </c>
      <c r="Q74" s="17" t="s">
        <v>864</v>
      </c>
      <c r="R74" s="40" t="s">
        <v>847</v>
      </c>
      <c r="S74" s="40" t="s">
        <v>136</v>
      </c>
      <c r="T74" s="40" t="s">
        <v>142</v>
      </c>
      <c r="U74" s="19" t="s">
        <v>145</v>
      </c>
      <c r="V74" s="13" t="s">
        <v>24</v>
      </c>
      <c r="W74" s="19">
        <v>1</v>
      </c>
      <c r="X74" s="19" t="s">
        <v>25</v>
      </c>
      <c r="Y74" s="19" t="s">
        <v>134</v>
      </c>
      <c r="Z74" s="19">
        <v>1.5</v>
      </c>
      <c r="AA74" s="19">
        <v>5.7000000000000002E-2</v>
      </c>
      <c r="AB74" s="38" t="s">
        <v>30</v>
      </c>
      <c r="AC74" s="19" t="s">
        <v>137</v>
      </c>
      <c r="AD74" s="19" t="s">
        <v>19</v>
      </c>
      <c r="AE74" s="19" t="s">
        <v>20</v>
      </c>
      <c r="AF74" s="19" t="s">
        <v>138</v>
      </c>
      <c r="AG74" s="11"/>
    </row>
    <row r="75" spans="1:33" s="12" customFormat="1" ht="21.95" hidden="1" customHeight="1">
      <c r="A75" s="24">
        <v>74</v>
      </c>
      <c r="B75" s="25">
        <v>12</v>
      </c>
      <c r="C75" s="25">
        <v>22969</v>
      </c>
      <c r="D75" s="25" t="s">
        <v>918</v>
      </c>
      <c r="E75" s="144">
        <v>116770</v>
      </c>
      <c r="F75" s="141" t="s">
        <v>923</v>
      </c>
      <c r="G75" s="21" t="e">
        <f>VLOOKUP(P75,'CO F3'!$C$2:$M$108,7,FALSE)</f>
        <v>#N/A</v>
      </c>
      <c r="H75" s="21" t="e">
        <f>VLOOKUP(Q75,'CO F3'!$C$2:$M$108,7,FALSE)</f>
        <v>#N/A</v>
      </c>
      <c r="I75" s="25" t="s">
        <v>697</v>
      </c>
      <c r="J75" s="26"/>
      <c r="K75" s="26"/>
      <c r="L75" s="26" t="s">
        <v>13</v>
      </c>
      <c r="M75" s="26"/>
      <c r="N75" s="26"/>
      <c r="O75" s="26"/>
      <c r="P75" s="25">
        <v>7703011300</v>
      </c>
      <c r="Q75" s="25" t="s">
        <v>849</v>
      </c>
      <c r="R75" s="41" t="s">
        <v>849</v>
      </c>
      <c r="S75" s="41" t="s">
        <v>136</v>
      </c>
      <c r="T75" s="41" t="s">
        <v>142</v>
      </c>
      <c r="U75" s="27" t="s">
        <v>146</v>
      </c>
      <c r="V75" s="15" t="s">
        <v>29</v>
      </c>
      <c r="W75" s="27">
        <v>1</v>
      </c>
      <c r="X75" s="27"/>
      <c r="Y75" s="27"/>
      <c r="Z75" s="27"/>
      <c r="AA75" s="27">
        <v>1.7999999999999999E-2</v>
      </c>
      <c r="AB75" s="38" t="s">
        <v>30</v>
      </c>
      <c r="AC75" s="27" t="s">
        <v>137</v>
      </c>
      <c r="AD75" s="27" t="s">
        <v>19</v>
      </c>
      <c r="AE75" s="27" t="s">
        <v>20</v>
      </c>
      <c r="AF75" s="27" t="s">
        <v>138</v>
      </c>
      <c r="AG75" s="11"/>
    </row>
    <row r="76" spans="1:33" s="12" customFormat="1" ht="21.95" hidden="1" customHeight="1">
      <c r="A76" s="31">
        <v>75</v>
      </c>
      <c r="B76" s="32">
        <v>12</v>
      </c>
      <c r="C76" s="32">
        <v>22969</v>
      </c>
      <c r="D76" s="32" t="s">
        <v>918</v>
      </c>
      <c r="E76" s="145">
        <v>111301</v>
      </c>
      <c r="F76" s="21" t="s">
        <v>894</v>
      </c>
      <c r="G76" s="21" t="str">
        <f>VLOOKUP(P76,'CO F3'!$C$2:$M$108,7,FALSE)</f>
        <v>COSKUNOZ TURKIYE</v>
      </c>
      <c r="H76" s="21" t="e">
        <f>VLOOKUP(Q76,'CO F3'!$C$2:$M$108,7,FALSE)</f>
        <v>#N/A</v>
      </c>
      <c r="I76" s="32" t="s">
        <v>697</v>
      </c>
      <c r="J76" s="33"/>
      <c r="K76" s="33" t="s">
        <v>13</v>
      </c>
      <c r="L76" s="33"/>
      <c r="M76" s="33"/>
      <c r="N76" s="33"/>
      <c r="O76" s="33"/>
      <c r="P76" s="32" t="s">
        <v>147</v>
      </c>
      <c r="Q76" s="32" t="s">
        <v>861</v>
      </c>
      <c r="R76" s="42" t="s">
        <v>848</v>
      </c>
      <c r="S76" s="42" t="s">
        <v>136</v>
      </c>
      <c r="T76" s="42" t="s">
        <v>135</v>
      </c>
      <c r="U76" s="34" t="s">
        <v>148</v>
      </c>
      <c r="V76" s="35" t="s">
        <v>41</v>
      </c>
      <c r="W76" s="34">
        <v>1</v>
      </c>
      <c r="X76" s="34"/>
      <c r="Y76" s="34"/>
      <c r="Z76" s="34"/>
      <c r="AA76" s="34">
        <v>0</v>
      </c>
      <c r="AB76" s="38" t="s">
        <v>30</v>
      </c>
      <c r="AC76" s="34" t="s">
        <v>137</v>
      </c>
      <c r="AD76" s="34" t="s">
        <v>19</v>
      </c>
      <c r="AE76" s="34" t="s">
        <v>20</v>
      </c>
      <c r="AF76" s="34" t="s">
        <v>138</v>
      </c>
      <c r="AG76" s="11"/>
    </row>
    <row r="77" spans="1:33" s="12" customFormat="1" ht="21.95" hidden="1" customHeight="1">
      <c r="A77" s="16">
        <v>76</v>
      </c>
      <c r="B77" s="17">
        <v>12</v>
      </c>
      <c r="C77" s="17">
        <v>22969</v>
      </c>
      <c r="D77" s="17" t="s">
        <v>918</v>
      </c>
      <c r="E77" s="143">
        <v>111301</v>
      </c>
      <c r="F77" s="21" t="s">
        <v>894</v>
      </c>
      <c r="G77" s="21" t="e">
        <f>VLOOKUP(P77,'CO F3'!$C$2:$M$108,7,FALSE)</f>
        <v>#N/A</v>
      </c>
      <c r="H77" s="21" t="e">
        <f>VLOOKUP(Q77,'CO F3'!$C$2:$M$108,7,FALSE)</f>
        <v>#N/A</v>
      </c>
      <c r="I77" s="17" t="s">
        <v>697</v>
      </c>
      <c r="J77" s="18"/>
      <c r="K77" s="18"/>
      <c r="L77" s="18" t="s">
        <v>13</v>
      </c>
      <c r="M77" s="18"/>
      <c r="N77" s="18"/>
      <c r="O77" s="18"/>
      <c r="P77" s="17" t="s">
        <v>149</v>
      </c>
      <c r="Q77" s="17" t="s">
        <v>866</v>
      </c>
      <c r="R77" s="40" t="s">
        <v>853</v>
      </c>
      <c r="S77" s="40" t="s">
        <v>136</v>
      </c>
      <c r="T77" s="40" t="s">
        <v>147</v>
      </c>
      <c r="U77" s="19" t="s">
        <v>150</v>
      </c>
      <c r="V77" s="13" t="s">
        <v>24</v>
      </c>
      <c r="W77" s="19">
        <v>1</v>
      </c>
      <c r="X77" s="19" t="s">
        <v>25</v>
      </c>
      <c r="Y77" s="19" t="s">
        <v>134</v>
      </c>
      <c r="Z77" s="19">
        <v>1.5</v>
      </c>
      <c r="AA77" s="19">
        <v>0.15</v>
      </c>
      <c r="AB77" s="38" t="s">
        <v>30</v>
      </c>
      <c r="AC77" s="19" t="s">
        <v>137</v>
      </c>
      <c r="AD77" s="19" t="s">
        <v>19</v>
      </c>
      <c r="AE77" s="19" t="s">
        <v>20</v>
      </c>
      <c r="AF77" s="19" t="s">
        <v>138</v>
      </c>
      <c r="AG77" s="11"/>
    </row>
    <row r="78" spans="1:33" s="12" customFormat="1" ht="21.95" hidden="1" customHeight="1">
      <c r="A78" s="24">
        <v>77</v>
      </c>
      <c r="B78" s="25">
        <v>12</v>
      </c>
      <c r="C78" s="25">
        <v>22969</v>
      </c>
      <c r="D78" s="25" t="s">
        <v>918</v>
      </c>
      <c r="E78" s="144">
        <v>111301</v>
      </c>
      <c r="F78" s="21" t="s">
        <v>894</v>
      </c>
      <c r="G78" s="21" t="e">
        <f>VLOOKUP(P78,'CO F3'!$C$2:$M$108,7,FALSE)</f>
        <v>#N/A</v>
      </c>
      <c r="H78" s="21" t="e">
        <f>VLOOKUP(Q78,'CO F3'!$C$2:$M$108,7,FALSE)</f>
        <v>#N/A</v>
      </c>
      <c r="I78" s="25" t="s">
        <v>697</v>
      </c>
      <c r="J78" s="26"/>
      <c r="K78" s="26"/>
      <c r="L78" s="26" t="s">
        <v>13</v>
      </c>
      <c r="M78" s="26"/>
      <c r="N78" s="26"/>
      <c r="O78" s="26"/>
      <c r="P78" s="25">
        <v>7703042121</v>
      </c>
      <c r="Q78" s="25" t="s">
        <v>849</v>
      </c>
      <c r="R78" s="41" t="s">
        <v>849</v>
      </c>
      <c r="S78" s="41" t="s">
        <v>136</v>
      </c>
      <c r="T78" s="41" t="s">
        <v>147</v>
      </c>
      <c r="U78" s="27" t="s">
        <v>111</v>
      </c>
      <c r="V78" s="15" t="s">
        <v>29</v>
      </c>
      <c r="W78" s="27">
        <v>1</v>
      </c>
      <c r="X78" s="27"/>
      <c r="Y78" s="27"/>
      <c r="Z78" s="27"/>
      <c r="AA78" s="27">
        <v>1.7999999999999999E-2</v>
      </c>
      <c r="AB78" s="38" t="s">
        <v>30</v>
      </c>
      <c r="AC78" s="27" t="s">
        <v>137</v>
      </c>
      <c r="AD78" s="27" t="s">
        <v>19</v>
      </c>
      <c r="AE78" s="27" t="s">
        <v>20</v>
      </c>
      <c r="AF78" s="27" t="s">
        <v>138</v>
      </c>
      <c r="AG78" s="11"/>
    </row>
    <row r="79" spans="1:33" s="12" customFormat="1" ht="21.95" hidden="1" customHeight="1">
      <c r="A79" s="31">
        <v>78</v>
      </c>
      <c r="B79" s="32">
        <v>12</v>
      </c>
      <c r="C79" s="32">
        <v>22969</v>
      </c>
      <c r="D79" s="32" t="s">
        <v>918</v>
      </c>
      <c r="E79" s="145"/>
      <c r="F79" s="21" t="s">
        <v>881</v>
      </c>
      <c r="G79" s="21" t="str">
        <f>VLOOKUP(P79,'CO F3'!$C$2:$M$108,7,FALSE)</f>
        <v>GMD METAL TANGER</v>
      </c>
      <c r="H79" s="21" t="e">
        <f>VLOOKUP(Q79,'CO F3'!$C$2:$M$108,7,FALSE)</f>
        <v>#N/A</v>
      </c>
      <c r="I79" s="32" t="s">
        <v>697</v>
      </c>
      <c r="J79" s="33"/>
      <c r="K79" s="33" t="s">
        <v>13</v>
      </c>
      <c r="L79" s="33"/>
      <c r="M79" s="33"/>
      <c r="N79" s="33"/>
      <c r="O79" s="33"/>
      <c r="P79" s="32" t="s">
        <v>151</v>
      </c>
      <c r="Q79" s="32" t="s">
        <v>866</v>
      </c>
      <c r="R79" s="42" t="s">
        <v>848</v>
      </c>
      <c r="S79" s="42" t="s">
        <v>136</v>
      </c>
      <c r="T79" s="42" t="s">
        <v>135</v>
      </c>
      <c r="U79" s="34" t="s">
        <v>126</v>
      </c>
      <c r="V79" s="35" t="s">
        <v>41</v>
      </c>
      <c r="W79" s="34">
        <v>1</v>
      </c>
      <c r="X79" s="34"/>
      <c r="Y79" s="34"/>
      <c r="Z79" s="34"/>
      <c r="AA79" s="34">
        <v>0</v>
      </c>
      <c r="AB79" s="38" t="s">
        <v>30</v>
      </c>
      <c r="AC79" s="34" t="s">
        <v>137</v>
      </c>
      <c r="AD79" s="34" t="s">
        <v>19</v>
      </c>
      <c r="AE79" s="34" t="s">
        <v>20</v>
      </c>
      <c r="AF79" s="34" t="s">
        <v>138</v>
      </c>
      <c r="AG79" s="11"/>
    </row>
    <row r="80" spans="1:33" s="12" customFormat="1" ht="21.95" hidden="1" customHeight="1">
      <c r="A80" s="16">
        <v>79</v>
      </c>
      <c r="B80" s="17">
        <v>12</v>
      </c>
      <c r="C80" s="17">
        <v>22969</v>
      </c>
      <c r="D80" s="17" t="s">
        <v>918</v>
      </c>
      <c r="E80" s="143"/>
      <c r="F80" s="21" t="s">
        <v>881</v>
      </c>
      <c r="G80" s="21" t="e">
        <f>VLOOKUP(P80,'CO F3'!$C$2:$M$108,7,FALSE)</f>
        <v>#N/A</v>
      </c>
      <c r="H80" s="21" t="e">
        <f>VLOOKUP(Q80,'CO F3'!$C$2:$M$108,7,FALSE)</f>
        <v>#N/A</v>
      </c>
      <c r="I80" s="17" t="s">
        <v>697</v>
      </c>
      <c r="J80" s="18"/>
      <c r="K80" s="18"/>
      <c r="L80" s="18" t="s">
        <v>13</v>
      </c>
      <c r="M80" s="18"/>
      <c r="N80" s="18"/>
      <c r="O80" s="18"/>
      <c r="P80" s="17" t="s">
        <v>152</v>
      </c>
      <c r="Q80" s="17" t="s">
        <v>868</v>
      </c>
      <c r="R80" s="40" t="s">
        <v>847</v>
      </c>
      <c r="S80" s="40" t="s">
        <v>136</v>
      </c>
      <c r="T80" s="40" t="s">
        <v>125</v>
      </c>
      <c r="U80" s="19" t="s">
        <v>153</v>
      </c>
      <c r="V80" s="13" t="s">
        <v>24</v>
      </c>
      <c r="W80" s="19">
        <v>1</v>
      </c>
      <c r="X80" s="19" t="s">
        <v>25</v>
      </c>
      <c r="Y80" s="19" t="s">
        <v>26</v>
      </c>
      <c r="Z80" s="19">
        <v>2</v>
      </c>
      <c r="AA80" s="19">
        <v>0.106</v>
      </c>
      <c r="AB80" s="38" t="s">
        <v>30</v>
      </c>
      <c r="AC80" s="19" t="s">
        <v>137</v>
      </c>
      <c r="AD80" s="19" t="s">
        <v>19</v>
      </c>
      <c r="AE80" s="19" t="s">
        <v>20</v>
      </c>
      <c r="AF80" s="19" t="s">
        <v>138</v>
      </c>
      <c r="AG80" s="11"/>
    </row>
    <row r="81" spans="1:33" s="12" customFormat="1" ht="21.95" hidden="1" customHeight="1">
      <c r="A81" s="16">
        <v>80</v>
      </c>
      <c r="B81" s="17">
        <v>12</v>
      </c>
      <c r="C81" s="17">
        <v>22969</v>
      </c>
      <c r="D81" s="17" t="s">
        <v>918</v>
      </c>
      <c r="E81" s="143"/>
      <c r="F81" s="21" t="s">
        <v>881</v>
      </c>
      <c r="G81" s="21" t="e">
        <f>VLOOKUP(P81,'CO F3'!$C$2:$M$108,7,FALSE)</f>
        <v>#N/A</v>
      </c>
      <c r="H81" s="21" t="e">
        <f>VLOOKUP(Q81,'CO F3'!$C$2:$M$108,7,FALSE)</f>
        <v>#N/A</v>
      </c>
      <c r="I81" s="17" t="s">
        <v>697</v>
      </c>
      <c r="J81" s="18"/>
      <c r="K81" s="18"/>
      <c r="L81" s="18" t="s">
        <v>13</v>
      </c>
      <c r="M81" s="18"/>
      <c r="N81" s="18"/>
      <c r="O81" s="18"/>
      <c r="P81" s="17" t="s">
        <v>154</v>
      </c>
      <c r="Q81" s="17" t="s">
        <v>864</v>
      </c>
      <c r="R81" s="40" t="s">
        <v>847</v>
      </c>
      <c r="S81" s="40" t="s">
        <v>136</v>
      </c>
      <c r="T81" s="40" t="s">
        <v>125</v>
      </c>
      <c r="U81" s="19" t="s">
        <v>155</v>
      </c>
      <c r="V81" s="13" t="s">
        <v>24</v>
      </c>
      <c r="W81" s="19">
        <v>1</v>
      </c>
      <c r="X81" s="19" t="s">
        <v>156</v>
      </c>
      <c r="Y81" s="19" t="s">
        <v>61</v>
      </c>
      <c r="Z81" s="19" t="s">
        <v>157</v>
      </c>
      <c r="AA81" s="19">
        <v>6.2E-2</v>
      </c>
      <c r="AB81" s="38" t="s">
        <v>30</v>
      </c>
      <c r="AC81" s="19" t="s">
        <v>137</v>
      </c>
      <c r="AD81" s="19" t="s">
        <v>19</v>
      </c>
      <c r="AE81" s="19" t="s">
        <v>20</v>
      </c>
      <c r="AF81" s="19" t="s">
        <v>138</v>
      </c>
      <c r="AG81" s="11"/>
    </row>
    <row r="82" spans="1:33" s="12" customFormat="1" ht="21.95" hidden="1" customHeight="1">
      <c r="A82" s="24">
        <v>81</v>
      </c>
      <c r="B82" s="25">
        <v>12</v>
      </c>
      <c r="C82" s="25">
        <v>22969</v>
      </c>
      <c r="D82" s="25" t="s">
        <v>918</v>
      </c>
      <c r="E82" s="144"/>
      <c r="F82" s="21" t="s">
        <v>881</v>
      </c>
      <c r="G82" s="21" t="e">
        <f>VLOOKUP(P82,'CO F3'!$C$2:$M$108,7,FALSE)</f>
        <v>#N/A</v>
      </c>
      <c r="H82" s="21" t="e">
        <f>VLOOKUP(Q82,'CO F3'!$C$2:$M$108,7,FALSE)</f>
        <v>#N/A</v>
      </c>
      <c r="I82" s="25" t="s">
        <v>697</v>
      </c>
      <c r="J82" s="26"/>
      <c r="K82" s="26"/>
      <c r="L82" s="26" t="s">
        <v>13</v>
      </c>
      <c r="M82" s="26"/>
      <c r="N82" s="26"/>
      <c r="O82" s="26"/>
      <c r="P82" s="25">
        <v>7703011300</v>
      </c>
      <c r="Q82" s="25" t="s">
        <v>849</v>
      </c>
      <c r="R82" s="41" t="s">
        <v>849</v>
      </c>
      <c r="S82" s="41" t="s">
        <v>136</v>
      </c>
      <c r="T82" s="41" t="s">
        <v>125</v>
      </c>
      <c r="U82" s="27" t="s">
        <v>158</v>
      </c>
      <c r="V82" s="15" t="s">
        <v>29</v>
      </c>
      <c r="W82" s="27">
        <v>1</v>
      </c>
      <c r="X82" s="27"/>
      <c r="Y82" s="27"/>
      <c r="Z82" s="27"/>
      <c r="AA82" s="27">
        <v>2E-3</v>
      </c>
      <c r="AB82" s="38" t="s">
        <v>30</v>
      </c>
      <c r="AC82" s="27" t="s">
        <v>137</v>
      </c>
      <c r="AD82" s="27" t="s">
        <v>19</v>
      </c>
      <c r="AE82" s="27" t="s">
        <v>20</v>
      </c>
      <c r="AF82" s="27" t="s">
        <v>138</v>
      </c>
      <c r="AG82" s="11"/>
    </row>
    <row r="83" spans="1:33" s="12" customFormat="1" ht="21.95" hidden="1" customHeight="1">
      <c r="A83" s="16">
        <v>82</v>
      </c>
      <c r="B83" s="17">
        <v>12</v>
      </c>
      <c r="C83" s="17">
        <v>22969</v>
      </c>
      <c r="D83" s="17" t="s">
        <v>918</v>
      </c>
      <c r="E83" s="143"/>
      <c r="F83" s="21" t="s">
        <v>918</v>
      </c>
      <c r="G83" s="21" t="e">
        <f>VLOOKUP(P83,'CO F3'!$C$2:$M$108,7,FALSE)</f>
        <v>#N/A</v>
      </c>
      <c r="H83" s="21" t="e">
        <f>VLOOKUP(Q83,'CO F3'!$C$2:$M$108,7,FALSE)</f>
        <v>#N/A</v>
      </c>
      <c r="I83" s="17" t="s">
        <v>697</v>
      </c>
      <c r="J83" s="18"/>
      <c r="K83" s="18" t="s">
        <v>13</v>
      </c>
      <c r="L83" s="18"/>
      <c r="M83" s="18"/>
      <c r="N83" s="18"/>
      <c r="O83" s="18"/>
      <c r="P83" s="17" t="s">
        <v>159</v>
      </c>
      <c r="Q83" s="17" t="s">
        <v>864</v>
      </c>
      <c r="R83" s="40" t="s">
        <v>851</v>
      </c>
      <c r="S83" s="40" t="s">
        <v>136</v>
      </c>
      <c r="T83" s="40" t="s">
        <v>135</v>
      </c>
      <c r="U83" s="19" t="s">
        <v>160</v>
      </c>
      <c r="V83" s="13" t="s">
        <v>24</v>
      </c>
      <c r="W83" s="19">
        <v>1</v>
      </c>
      <c r="X83" s="19" t="s">
        <v>462</v>
      </c>
      <c r="Y83" s="19" t="s">
        <v>93</v>
      </c>
      <c r="Z83" s="19">
        <v>1.18</v>
      </c>
      <c r="AA83" s="19">
        <v>0.5</v>
      </c>
      <c r="AB83" s="37" t="s">
        <v>17</v>
      </c>
      <c r="AC83" s="19" t="s">
        <v>137</v>
      </c>
      <c r="AD83" s="19" t="s">
        <v>19</v>
      </c>
      <c r="AE83" s="19" t="s">
        <v>20</v>
      </c>
      <c r="AF83" s="19" t="s">
        <v>138</v>
      </c>
      <c r="AG83" s="11"/>
    </row>
    <row r="84" spans="1:33" s="12" customFormat="1" ht="21.95" hidden="1" customHeight="1">
      <c r="A84" s="31">
        <v>83</v>
      </c>
      <c r="B84" s="32">
        <v>12</v>
      </c>
      <c r="C84" s="32">
        <v>22969</v>
      </c>
      <c r="D84" s="32" t="s">
        <v>918</v>
      </c>
      <c r="E84" s="145"/>
      <c r="F84" s="21" t="s">
        <v>918</v>
      </c>
      <c r="G84" s="21" t="e">
        <f>VLOOKUP(P84,'CO F3'!$C$2:$M$108,7,FALSE)</f>
        <v>#N/A</v>
      </c>
      <c r="H84" s="21" t="e">
        <f>VLOOKUP(Q84,'CO F3'!$C$2:$M$108,7,FALSE)</f>
        <v>#N/A</v>
      </c>
      <c r="I84" s="32" t="s">
        <v>697</v>
      </c>
      <c r="J84" s="33"/>
      <c r="K84" s="33" t="s">
        <v>13</v>
      </c>
      <c r="L84" s="33"/>
      <c r="M84" s="33"/>
      <c r="N84" s="33"/>
      <c r="O84" s="33"/>
      <c r="P84" s="32" t="s">
        <v>161</v>
      </c>
      <c r="Q84" s="32" t="s">
        <v>849</v>
      </c>
      <c r="R84" s="42" t="s">
        <v>849</v>
      </c>
      <c r="S84" s="42" t="s">
        <v>136</v>
      </c>
      <c r="T84" s="42" t="s">
        <v>135</v>
      </c>
      <c r="U84" s="34" t="s">
        <v>162</v>
      </c>
      <c r="V84" s="35" t="s">
        <v>41</v>
      </c>
      <c r="W84" s="34">
        <v>1</v>
      </c>
      <c r="X84" s="34"/>
      <c r="Y84" s="34"/>
      <c r="Z84" s="34"/>
      <c r="AA84" s="34">
        <v>2.3289999999999997</v>
      </c>
      <c r="AB84" s="37" t="s">
        <v>17</v>
      </c>
      <c r="AC84" s="34" t="s">
        <v>137</v>
      </c>
      <c r="AD84" s="34" t="s">
        <v>19</v>
      </c>
      <c r="AE84" s="34" t="s">
        <v>20</v>
      </c>
      <c r="AF84" s="34" t="s">
        <v>138</v>
      </c>
      <c r="AG84" s="11"/>
    </row>
    <row r="85" spans="1:33" s="12" customFormat="1" ht="21.95" hidden="1" customHeight="1">
      <c r="A85" s="16">
        <v>84</v>
      </c>
      <c r="B85" s="17">
        <v>12</v>
      </c>
      <c r="C85" s="17">
        <v>22969</v>
      </c>
      <c r="D85" s="17" t="s">
        <v>918</v>
      </c>
      <c r="E85" s="143"/>
      <c r="F85" s="21" t="s">
        <v>918</v>
      </c>
      <c r="G85" s="21" t="e">
        <f>VLOOKUP(P85,'CO F3'!$C$2:$M$108,7,FALSE)</f>
        <v>#N/A</v>
      </c>
      <c r="H85" s="21" t="e">
        <f>VLOOKUP(Q85,'CO F3'!$C$2:$M$108,7,FALSE)</f>
        <v>#N/A</v>
      </c>
      <c r="I85" s="17" t="s">
        <v>697</v>
      </c>
      <c r="J85" s="18"/>
      <c r="K85" s="18"/>
      <c r="L85" s="18" t="s">
        <v>13</v>
      </c>
      <c r="M85" s="18"/>
      <c r="N85" s="18"/>
      <c r="O85" s="18"/>
      <c r="P85" s="17" t="s">
        <v>163</v>
      </c>
      <c r="Q85" s="17" t="s">
        <v>863</v>
      </c>
      <c r="R85" s="40" t="s">
        <v>855</v>
      </c>
      <c r="S85" s="40" t="s">
        <v>136</v>
      </c>
      <c r="T85" s="40" t="s">
        <v>161</v>
      </c>
      <c r="U85" s="19" t="s">
        <v>164</v>
      </c>
      <c r="V85" s="13" t="s">
        <v>24</v>
      </c>
      <c r="W85" s="19">
        <v>1</v>
      </c>
      <c r="X85" s="19" t="s">
        <v>548</v>
      </c>
      <c r="Y85" s="19" t="s">
        <v>93</v>
      </c>
      <c r="Z85" s="19">
        <v>1.17</v>
      </c>
      <c r="AA85" s="19">
        <v>1.88</v>
      </c>
      <c r="AB85" s="37" t="s">
        <v>17</v>
      </c>
      <c r="AC85" s="19" t="s">
        <v>137</v>
      </c>
      <c r="AD85" s="19" t="s">
        <v>19</v>
      </c>
      <c r="AE85" s="19" t="s">
        <v>20</v>
      </c>
      <c r="AF85" s="19" t="s">
        <v>138</v>
      </c>
      <c r="AG85" s="11"/>
    </row>
    <row r="86" spans="1:33" s="12" customFormat="1" ht="21.95" hidden="1" customHeight="1">
      <c r="A86" s="16">
        <v>85</v>
      </c>
      <c r="B86" s="17">
        <v>12</v>
      </c>
      <c r="C86" s="17">
        <v>22969</v>
      </c>
      <c r="D86" s="17" t="s">
        <v>918</v>
      </c>
      <c r="E86" s="143"/>
      <c r="F86" s="21" t="s">
        <v>881</v>
      </c>
      <c r="G86" s="21" t="str">
        <f>VLOOKUP(P86,'CO F3'!$C$2:$M$108,7,FALSE)</f>
        <v>GMD METAL TANGER</v>
      </c>
      <c r="H86" s="21" t="e">
        <f>VLOOKUP(Q86,'CO F3'!$C$2:$M$108,7,FALSE)</f>
        <v>#N/A</v>
      </c>
      <c r="I86" s="17" t="s">
        <v>697</v>
      </c>
      <c r="J86" s="18"/>
      <c r="K86" s="18"/>
      <c r="L86" s="18" t="s">
        <v>13</v>
      </c>
      <c r="M86" s="18"/>
      <c r="N86" s="18"/>
      <c r="O86" s="18"/>
      <c r="P86" s="17" t="s">
        <v>165</v>
      </c>
      <c r="Q86" s="17" t="s">
        <v>863</v>
      </c>
      <c r="R86" s="40" t="s">
        <v>847</v>
      </c>
      <c r="S86" s="40" t="s">
        <v>136</v>
      </c>
      <c r="T86" s="40" t="s">
        <v>161</v>
      </c>
      <c r="U86" s="19" t="s">
        <v>166</v>
      </c>
      <c r="V86" s="13" t="s">
        <v>24</v>
      </c>
      <c r="W86" s="19">
        <v>1</v>
      </c>
      <c r="X86" s="19" t="s">
        <v>141</v>
      </c>
      <c r="Y86" s="19" t="s">
        <v>134</v>
      </c>
      <c r="Z86" s="19">
        <v>1</v>
      </c>
      <c r="AA86" s="19">
        <v>5.8999999999999997E-2</v>
      </c>
      <c r="AB86" s="38" t="s">
        <v>30</v>
      </c>
      <c r="AC86" s="19" t="s">
        <v>137</v>
      </c>
      <c r="AD86" s="19" t="s">
        <v>19</v>
      </c>
      <c r="AE86" s="19" t="s">
        <v>20</v>
      </c>
      <c r="AF86" s="19" t="s">
        <v>138</v>
      </c>
      <c r="AG86" s="11"/>
    </row>
    <row r="87" spans="1:33" s="12" customFormat="1" ht="21.95" hidden="1" customHeight="1">
      <c r="A87" s="16">
        <v>86</v>
      </c>
      <c r="B87" s="17">
        <v>12</v>
      </c>
      <c r="C87" s="17">
        <v>22969</v>
      </c>
      <c r="D87" s="17" t="s">
        <v>918</v>
      </c>
      <c r="E87" s="143"/>
      <c r="F87" s="21" t="s">
        <v>881</v>
      </c>
      <c r="G87" s="21" t="str">
        <f>VLOOKUP(P87,'CO F3'!$C$2:$M$108,7,FALSE)</f>
        <v>GMD METAL TANGER</v>
      </c>
      <c r="H87" s="21" t="e">
        <f>VLOOKUP(Q87,'CO F3'!$C$2:$M$108,7,FALSE)</f>
        <v>#N/A</v>
      </c>
      <c r="I87" s="17" t="s">
        <v>697</v>
      </c>
      <c r="J87" s="18"/>
      <c r="K87" s="18"/>
      <c r="L87" s="18" t="s">
        <v>13</v>
      </c>
      <c r="M87" s="18"/>
      <c r="N87" s="18"/>
      <c r="O87" s="18"/>
      <c r="P87" s="17" t="s">
        <v>167</v>
      </c>
      <c r="Q87" s="17" t="s">
        <v>864</v>
      </c>
      <c r="R87" s="40" t="s">
        <v>847</v>
      </c>
      <c r="S87" s="40" t="s">
        <v>136</v>
      </c>
      <c r="T87" s="40" t="s">
        <v>161</v>
      </c>
      <c r="U87" s="19" t="s">
        <v>166</v>
      </c>
      <c r="V87" s="13" t="s">
        <v>24</v>
      </c>
      <c r="W87" s="19">
        <v>1</v>
      </c>
      <c r="X87" s="19" t="s">
        <v>141</v>
      </c>
      <c r="Y87" s="19" t="s">
        <v>134</v>
      </c>
      <c r="Z87" s="19">
        <v>1</v>
      </c>
      <c r="AA87" s="19">
        <v>0.04</v>
      </c>
      <c r="AB87" s="38" t="s">
        <v>30</v>
      </c>
      <c r="AC87" s="19" t="s">
        <v>137</v>
      </c>
      <c r="AD87" s="19" t="s">
        <v>19</v>
      </c>
      <c r="AE87" s="19" t="s">
        <v>20</v>
      </c>
      <c r="AF87" s="19" t="s">
        <v>138</v>
      </c>
      <c r="AG87" s="11"/>
    </row>
    <row r="88" spans="1:33" s="12" customFormat="1" ht="21.95" hidden="1" customHeight="1">
      <c r="A88" s="16">
        <v>87</v>
      </c>
      <c r="B88" s="17">
        <v>12</v>
      </c>
      <c r="C88" s="17">
        <v>22969</v>
      </c>
      <c r="D88" s="17" t="s">
        <v>918</v>
      </c>
      <c r="E88" s="143"/>
      <c r="F88" s="21" t="s">
        <v>881</v>
      </c>
      <c r="G88" s="21" t="str">
        <f>VLOOKUP(P88,'CO F3'!$C$2:$M$108,7,FALSE)</f>
        <v>GMD METAL TANGER</v>
      </c>
      <c r="H88" s="21" t="e">
        <f>VLOOKUP(Q88,'CO F3'!$C$2:$M$108,7,FALSE)</f>
        <v>#N/A</v>
      </c>
      <c r="I88" s="17" t="s">
        <v>697</v>
      </c>
      <c r="J88" s="18"/>
      <c r="K88" s="18"/>
      <c r="L88" s="18" t="s">
        <v>13</v>
      </c>
      <c r="M88" s="18"/>
      <c r="N88" s="18"/>
      <c r="O88" s="18"/>
      <c r="P88" s="17" t="s">
        <v>168</v>
      </c>
      <c r="Q88" s="17" t="s">
        <v>868</v>
      </c>
      <c r="R88" s="40" t="s">
        <v>853</v>
      </c>
      <c r="S88" s="40" t="s">
        <v>136</v>
      </c>
      <c r="T88" s="40" t="s">
        <v>161</v>
      </c>
      <c r="U88" s="19" t="s">
        <v>169</v>
      </c>
      <c r="V88" s="13" t="s">
        <v>24</v>
      </c>
      <c r="W88" s="19">
        <v>1</v>
      </c>
      <c r="X88" s="19" t="s">
        <v>170</v>
      </c>
      <c r="Y88" s="19" t="s">
        <v>171</v>
      </c>
      <c r="Z88" s="19">
        <v>1.5</v>
      </c>
      <c r="AA88" s="19">
        <v>0.14000000000000001</v>
      </c>
      <c r="AB88" s="38" t="s">
        <v>30</v>
      </c>
      <c r="AC88" s="19" t="s">
        <v>137</v>
      </c>
      <c r="AD88" s="19" t="s">
        <v>19</v>
      </c>
      <c r="AE88" s="19" t="s">
        <v>20</v>
      </c>
      <c r="AF88" s="19" t="s">
        <v>138</v>
      </c>
      <c r="AG88" s="11"/>
    </row>
    <row r="89" spans="1:33" s="12" customFormat="1" ht="21.95" hidden="1" customHeight="1">
      <c r="A89" s="16">
        <v>88</v>
      </c>
      <c r="B89" s="17">
        <v>12</v>
      </c>
      <c r="C89" s="17">
        <v>22969</v>
      </c>
      <c r="D89" s="17" t="s">
        <v>918</v>
      </c>
      <c r="E89" s="143"/>
      <c r="F89" s="21" t="s">
        <v>897</v>
      </c>
      <c r="G89" s="21" t="str">
        <f>VLOOKUP(P89,'CO F3'!$C$2:$M$108,7,FALSE)</f>
        <v>MUSA PITESTI ROMANIA</v>
      </c>
      <c r="H89" s="21" t="e">
        <f>VLOOKUP(Q89,'CO F3'!$C$2:$M$108,7,FALSE)</f>
        <v>#N/A</v>
      </c>
      <c r="I89" s="17" t="s">
        <v>697</v>
      </c>
      <c r="J89" s="18"/>
      <c r="K89" s="18"/>
      <c r="L89" s="18" t="s">
        <v>13</v>
      </c>
      <c r="M89" s="18"/>
      <c r="N89" s="18"/>
      <c r="O89" s="18"/>
      <c r="P89" s="17" t="s">
        <v>172</v>
      </c>
      <c r="Q89" s="17" t="s">
        <v>861</v>
      </c>
      <c r="R89" s="40" t="s">
        <v>853</v>
      </c>
      <c r="S89" s="40" t="s">
        <v>136</v>
      </c>
      <c r="T89" s="40" t="s">
        <v>161</v>
      </c>
      <c r="U89" s="19" t="s">
        <v>173</v>
      </c>
      <c r="V89" s="13" t="s">
        <v>24</v>
      </c>
      <c r="W89" s="19">
        <v>1</v>
      </c>
      <c r="X89" s="19" t="s">
        <v>174</v>
      </c>
      <c r="Y89" s="19" t="s">
        <v>134</v>
      </c>
      <c r="Z89" s="19">
        <v>2.5</v>
      </c>
      <c r="AA89" s="19">
        <v>0.21</v>
      </c>
      <c r="AB89" s="38" t="s">
        <v>30</v>
      </c>
      <c r="AC89" s="19" t="s">
        <v>137</v>
      </c>
      <c r="AD89" s="19" t="s">
        <v>19</v>
      </c>
      <c r="AE89" s="19" t="s">
        <v>20</v>
      </c>
      <c r="AF89" s="19" t="s">
        <v>138</v>
      </c>
      <c r="AG89" s="11"/>
    </row>
    <row r="90" spans="1:33" s="12" customFormat="1" ht="21.95" hidden="1" customHeight="1">
      <c r="A90" s="31">
        <v>89</v>
      </c>
      <c r="B90" s="32">
        <v>12</v>
      </c>
      <c r="C90" s="32">
        <v>22969</v>
      </c>
      <c r="D90" s="32" t="s">
        <v>918</v>
      </c>
      <c r="E90" s="145"/>
      <c r="F90" s="133" t="s">
        <v>884</v>
      </c>
      <c r="G90" s="21" t="str">
        <f>VLOOKUP(P90,'CO F3'!$C$2:$M$108,7,FALSE)</f>
        <v>COSKUNOZ MA SRL ROMANIA</v>
      </c>
      <c r="H90" s="21" t="e">
        <f>VLOOKUP(Q90,'CO F3'!$C$2:$M$108,7,FALSE)</f>
        <v>#N/A</v>
      </c>
      <c r="I90" s="32" t="s">
        <v>697</v>
      </c>
      <c r="J90" s="33"/>
      <c r="K90" s="33" t="s">
        <v>13</v>
      </c>
      <c r="L90" s="33"/>
      <c r="M90" s="33"/>
      <c r="N90" s="33"/>
      <c r="O90" s="33"/>
      <c r="P90" s="32" t="s">
        <v>175</v>
      </c>
      <c r="Q90" s="32" t="s">
        <v>861</v>
      </c>
      <c r="R90" s="42" t="s">
        <v>851</v>
      </c>
      <c r="S90" s="42" t="s">
        <v>136</v>
      </c>
      <c r="T90" s="42" t="s">
        <v>135</v>
      </c>
      <c r="U90" s="34" t="s">
        <v>176</v>
      </c>
      <c r="V90" s="35" t="s">
        <v>41</v>
      </c>
      <c r="W90" s="34">
        <v>1</v>
      </c>
      <c r="X90" s="34"/>
      <c r="Y90" s="34"/>
      <c r="Z90" s="34"/>
      <c r="AA90" s="34">
        <v>0</v>
      </c>
      <c r="AB90" s="38" t="s">
        <v>30</v>
      </c>
      <c r="AC90" s="34" t="s">
        <v>137</v>
      </c>
      <c r="AD90" s="34" t="s">
        <v>19</v>
      </c>
      <c r="AE90" s="34" t="s">
        <v>20</v>
      </c>
      <c r="AF90" s="34" t="s">
        <v>138</v>
      </c>
      <c r="AG90" s="11"/>
    </row>
    <row r="91" spans="1:33" s="12" customFormat="1" ht="21.95" hidden="1" customHeight="1">
      <c r="A91" s="16">
        <v>90</v>
      </c>
      <c r="B91" s="17">
        <v>12</v>
      </c>
      <c r="C91" s="17">
        <v>22969</v>
      </c>
      <c r="D91" s="17" t="s">
        <v>918</v>
      </c>
      <c r="E91" s="143"/>
      <c r="F91" s="133" t="s">
        <v>917</v>
      </c>
      <c r="G91" s="21" t="e">
        <f>VLOOKUP(P91,'CO F3'!$C$2:$M$108,7,FALSE)</f>
        <v>#N/A</v>
      </c>
      <c r="H91" s="21" t="e">
        <f>VLOOKUP(Q91,'CO F3'!$C$2:$M$108,7,FALSE)</f>
        <v>#N/A</v>
      </c>
      <c r="I91" s="17" t="s">
        <v>697</v>
      </c>
      <c r="J91" s="18"/>
      <c r="K91" s="18"/>
      <c r="L91" s="18" t="s">
        <v>13</v>
      </c>
      <c r="M91" s="18"/>
      <c r="N91" s="18"/>
      <c r="O91" s="18"/>
      <c r="P91" s="17" t="s">
        <v>177</v>
      </c>
      <c r="Q91" s="17" t="s">
        <v>863</v>
      </c>
      <c r="R91" s="40" t="s">
        <v>847</v>
      </c>
      <c r="S91" s="40" t="s">
        <v>136</v>
      </c>
      <c r="T91" s="40" t="s">
        <v>175</v>
      </c>
      <c r="U91" s="19" t="s">
        <v>178</v>
      </c>
      <c r="V91" s="13" t="s">
        <v>24</v>
      </c>
      <c r="W91" s="19">
        <v>1</v>
      </c>
      <c r="X91" s="19" t="s">
        <v>179</v>
      </c>
      <c r="Y91" s="19" t="s">
        <v>180</v>
      </c>
      <c r="Z91" s="19">
        <v>1.96</v>
      </c>
      <c r="AA91" s="19">
        <v>0.36899999999999999</v>
      </c>
      <c r="AB91" s="38" t="s">
        <v>30</v>
      </c>
      <c r="AC91" s="19" t="s">
        <v>137</v>
      </c>
      <c r="AD91" s="19" t="s">
        <v>19</v>
      </c>
      <c r="AE91" s="19" t="s">
        <v>20</v>
      </c>
      <c r="AF91" s="19" t="s">
        <v>138</v>
      </c>
      <c r="AG91" s="11"/>
    </row>
    <row r="92" spans="1:33" s="12" customFormat="1" ht="21.95" hidden="1" customHeight="1">
      <c r="A92" s="16">
        <v>91</v>
      </c>
      <c r="B92" s="17">
        <v>12</v>
      </c>
      <c r="C92" s="17">
        <v>22969</v>
      </c>
      <c r="D92" s="17" t="s">
        <v>918</v>
      </c>
      <c r="E92" s="143"/>
      <c r="F92" s="133" t="s">
        <v>917</v>
      </c>
      <c r="G92" s="21" t="e">
        <f>VLOOKUP(P92,'CO F3'!$C$2:$M$108,7,FALSE)</f>
        <v>#N/A</v>
      </c>
      <c r="H92" s="21" t="e">
        <f>VLOOKUP(Q92,'CO F3'!$C$2:$M$108,7,FALSE)</f>
        <v>#N/A</v>
      </c>
      <c r="I92" s="17" t="s">
        <v>697</v>
      </c>
      <c r="J92" s="18"/>
      <c r="K92" s="18"/>
      <c r="L92" s="18" t="s">
        <v>13</v>
      </c>
      <c r="M92" s="18"/>
      <c r="N92" s="18"/>
      <c r="O92" s="18"/>
      <c r="P92" s="17" t="s">
        <v>181</v>
      </c>
      <c r="Q92" s="17" t="s">
        <v>864</v>
      </c>
      <c r="R92" s="40" t="s">
        <v>856</v>
      </c>
      <c r="S92" s="40" t="s">
        <v>136</v>
      </c>
      <c r="T92" s="40" t="s">
        <v>175</v>
      </c>
      <c r="U92" s="19" t="s">
        <v>182</v>
      </c>
      <c r="V92" s="13" t="s">
        <v>24</v>
      </c>
      <c r="W92" s="19">
        <v>1</v>
      </c>
      <c r="X92" s="19" t="s">
        <v>179</v>
      </c>
      <c r="Y92" s="19" t="s">
        <v>180</v>
      </c>
      <c r="Z92" s="19">
        <v>1.96</v>
      </c>
      <c r="AA92" s="19">
        <v>0.24099999999999999</v>
      </c>
      <c r="AB92" s="38" t="s">
        <v>30</v>
      </c>
      <c r="AC92" s="19" t="s">
        <v>137</v>
      </c>
      <c r="AD92" s="19" t="s">
        <v>19</v>
      </c>
      <c r="AE92" s="19" t="s">
        <v>20</v>
      </c>
      <c r="AF92" s="19" t="s">
        <v>138</v>
      </c>
      <c r="AG92" s="11"/>
    </row>
    <row r="93" spans="1:33" s="12" customFormat="1" ht="21.95" hidden="1" customHeight="1">
      <c r="A93" s="16">
        <v>92</v>
      </c>
      <c r="B93" s="17">
        <v>12</v>
      </c>
      <c r="C93" s="17">
        <v>22969</v>
      </c>
      <c r="D93" s="17" t="s">
        <v>918</v>
      </c>
      <c r="E93" s="143"/>
      <c r="F93" s="133" t="s">
        <v>893</v>
      </c>
      <c r="G93" s="21" t="str">
        <f>VLOOKUP(P93,'CO F3'!$C$2:$M$108,7,FALSE)</f>
        <v>COSKUNOZ TURKIYE</v>
      </c>
      <c r="H93" s="21" t="e">
        <f>VLOOKUP(Q93,'CO F3'!$C$2:$M$108,7,FALSE)</f>
        <v>#N/A</v>
      </c>
      <c r="I93" s="17" t="s">
        <v>697</v>
      </c>
      <c r="J93" s="18"/>
      <c r="K93" s="18"/>
      <c r="L93" s="18" t="s">
        <v>13</v>
      </c>
      <c r="M93" s="18"/>
      <c r="N93" s="18"/>
      <c r="O93" s="18"/>
      <c r="P93" s="17" t="s">
        <v>183</v>
      </c>
      <c r="Q93" s="17" t="s">
        <v>864</v>
      </c>
      <c r="R93" s="40" t="s">
        <v>847</v>
      </c>
      <c r="S93" s="40" t="s">
        <v>136</v>
      </c>
      <c r="T93" s="40" t="s">
        <v>175</v>
      </c>
      <c r="U93" s="19" t="s">
        <v>184</v>
      </c>
      <c r="V93" s="13" t="s">
        <v>24</v>
      </c>
      <c r="W93" s="19">
        <v>1</v>
      </c>
      <c r="X93" s="19" t="s">
        <v>185</v>
      </c>
      <c r="Y93" s="19" t="s">
        <v>61</v>
      </c>
      <c r="Z93" s="19" t="s">
        <v>186</v>
      </c>
      <c r="AA93" s="19">
        <v>0.247</v>
      </c>
      <c r="AB93" s="38" t="s">
        <v>30</v>
      </c>
      <c r="AC93" s="19" t="s">
        <v>137</v>
      </c>
      <c r="AD93" s="19" t="s">
        <v>19</v>
      </c>
      <c r="AE93" s="19" t="s">
        <v>20</v>
      </c>
      <c r="AF93" s="19" t="s">
        <v>138</v>
      </c>
      <c r="AG93" s="11"/>
    </row>
    <row r="94" spans="1:33" s="12" customFormat="1" ht="21.95" hidden="1" customHeight="1">
      <c r="A94" s="31">
        <v>93</v>
      </c>
      <c r="B94" s="32">
        <v>12</v>
      </c>
      <c r="C94" s="32">
        <v>22969</v>
      </c>
      <c r="D94" s="32" t="s">
        <v>918</v>
      </c>
      <c r="E94" s="145"/>
      <c r="F94" s="21" t="s">
        <v>918</v>
      </c>
      <c r="G94" s="21" t="e">
        <f>VLOOKUP(P94,'CO F3'!$C$2:$M$108,7,FALSE)</f>
        <v>#N/A</v>
      </c>
      <c r="H94" s="21" t="e">
        <f>VLOOKUP(Q94,'CO F3'!$C$2:$M$108,7,FALSE)</f>
        <v>#N/A</v>
      </c>
      <c r="I94" s="32" t="s">
        <v>697</v>
      </c>
      <c r="J94" s="33"/>
      <c r="K94" s="33" t="s">
        <v>13</v>
      </c>
      <c r="L94" s="33"/>
      <c r="M94" s="33"/>
      <c r="N94" s="33"/>
      <c r="O94" s="33"/>
      <c r="P94" s="32" t="s">
        <v>187</v>
      </c>
      <c r="Q94" s="32" t="s">
        <v>849</v>
      </c>
      <c r="R94" s="42" t="s">
        <v>849</v>
      </c>
      <c r="S94" s="42" t="s">
        <v>136</v>
      </c>
      <c r="T94" s="42" t="s">
        <v>135</v>
      </c>
      <c r="U94" s="34" t="s">
        <v>188</v>
      </c>
      <c r="V94" s="35" t="s">
        <v>41</v>
      </c>
      <c r="W94" s="34">
        <v>1</v>
      </c>
      <c r="X94" s="34"/>
      <c r="Y94" s="34"/>
      <c r="Z94" s="34"/>
      <c r="AA94" s="34">
        <v>1.6840000000000002</v>
      </c>
      <c r="AB94" s="37" t="s">
        <v>17</v>
      </c>
      <c r="AC94" s="34" t="s">
        <v>137</v>
      </c>
      <c r="AD94" s="34" t="s">
        <v>19</v>
      </c>
      <c r="AE94" s="34" t="s">
        <v>20</v>
      </c>
      <c r="AF94" s="34" t="s">
        <v>138</v>
      </c>
      <c r="AG94" s="11"/>
    </row>
    <row r="95" spans="1:33" s="12" customFormat="1" ht="21.95" hidden="1" customHeight="1">
      <c r="A95" s="16">
        <v>94</v>
      </c>
      <c r="B95" s="17">
        <v>12</v>
      </c>
      <c r="C95" s="17">
        <v>22969</v>
      </c>
      <c r="D95" s="17" t="s">
        <v>918</v>
      </c>
      <c r="E95" s="143"/>
      <c r="F95" s="21" t="s">
        <v>918</v>
      </c>
      <c r="G95" s="21" t="e">
        <f>VLOOKUP(P95,'CO F3'!$C$2:$M$108,7,FALSE)</f>
        <v>#N/A</v>
      </c>
      <c r="H95" s="21" t="e">
        <f>VLOOKUP(Q95,'CO F3'!$C$2:$M$108,7,FALSE)</f>
        <v>#N/A</v>
      </c>
      <c r="I95" s="17" t="s">
        <v>697</v>
      </c>
      <c r="J95" s="18"/>
      <c r="K95" s="18"/>
      <c r="L95" s="18" t="s">
        <v>13</v>
      </c>
      <c r="M95" s="18"/>
      <c r="N95" s="18"/>
      <c r="O95" s="18"/>
      <c r="P95" s="17" t="s">
        <v>189</v>
      </c>
      <c r="Q95" s="17" t="s">
        <v>863</v>
      </c>
      <c r="R95" s="40" t="s">
        <v>857</v>
      </c>
      <c r="S95" s="40" t="s">
        <v>136</v>
      </c>
      <c r="T95" s="40" t="s">
        <v>187</v>
      </c>
      <c r="U95" s="19" t="s">
        <v>182</v>
      </c>
      <c r="V95" s="13" t="s">
        <v>24</v>
      </c>
      <c r="W95" s="19">
        <v>1</v>
      </c>
      <c r="X95" s="19" t="s">
        <v>179</v>
      </c>
      <c r="Y95" s="19" t="s">
        <v>93</v>
      </c>
      <c r="Z95" s="19">
        <v>1.96</v>
      </c>
      <c r="AA95" s="19">
        <v>0.8</v>
      </c>
      <c r="AB95" s="37" t="s">
        <v>17</v>
      </c>
      <c r="AC95" s="19" t="s">
        <v>137</v>
      </c>
      <c r="AD95" s="19" t="s">
        <v>19</v>
      </c>
      <c r="AE95" s="19" t="s">
        <v>20</v>
      </c>
      <c r="AF95" s="19" t="s">
        <v>138</v>
      </c>
      <c r="AG95" s="11"/>
    </row>
    <row r="96" spans="1:33" s="12" customFormat="1" ht="21.95" hidden="1" customHeight="1">
      <c r="A96" s="16">
        <v>95</v>
      </c>
      <c r="B96" s="17">
        <v>12</v>
      </c>
      <c r="C96" s="17">
        <v>22969</v>
      </c>
      <c r="D96" s="17" t="s">
        <v>918</v>
      </c>
      <c r="E96" s="143"/>
      <c r="F96" s="21" t="s">
        <v>883</v>
      </c>
      <c r="G96" s="21" t="str">
        <f>VLOOKUP(P96,'CO F3'!$C$2:$M$108,7,FALSE)</f>
        <v>COSKUNOZ MA SRL ROMANIA</v>
      </c>
      <c r="H96" s="21" t="e">
        <f>VLOOKUP(Q96,'CO F3'!$C$2:$M$108,7,FALSE)</f>
        <v>#N/A</v>
      </c>
      <c r="I96" s="17" t="s">
        <v>697</v>
      </c>
      <c r="J96" s="18"/>
      <c r="K96" s="18"/>
      <c r="L96" s="18" t="s">
        <v>13</v>
      </c>
      <c r="M96" s="18"/>
      <c r="N96" s="18"/>
      <c r="O96" s="18"/>
      <c r="P96" s="17" t="s">
        <v>190</v>
      </c>
      <c r="Q96" s="17" t="s">
        <v>866</v>
      </c>
      <c r="R96" s="40" t="s">
        <v>847</v>
      </c>
      <c r="S96" s="40" t="s">
        <v>136</v>
      </c>
      <c r="T96" s="40" t="s">
        <v>187</v>
      </c>
      <c r="U96" s="19" t="s">
        <v>191</v>
      </c>
      <c r="V96" s="13" t="s">
        <v>24</v>
      </c>
      <c r="W96" s="19">
        <v>1</v>
      </c>
      <c r="X96" s="19" t="s">
        <v>179</v>
      </c>
      <c r="Y96" s="19" t="s">
        <v>180</v>
      </c>
      <c r="Z96" s="19">
        <v>1.96</v>
      </c>
      <c r="AA96" s="19">
        <v>0.54600000000000004</v>
      </c>
      <c r="AB96" s="38" t="s">
        <v>30</v>
      </c>
      <c r="AC96" s="19" t="s">
        <v>137</v>
      </c>
      <c r="AD96" s="19" t="s">
        <v>19</v>
      </c>
      <c r="AE96" s="19" t="s">
        <v>20</v>
      </c>
      <c r="AF96" s="19" t="s">
        <v>138</v>
      </c>
      <c r="AG96" s="11"/>
    </row>
    <row r="97" spans="1:33" s="12" customFormat="1" ht="21.95" hidden="1" customHeight="1">
      <c r="A97" s="16">
        <v>96</v>
      </c>
      <c r="B97" s="17">
        <v>12</v>
      </c>
      <c r="C97" s="17">
        <v>22969</v>
      </c>
      <c r="D97" s="17" t="s">
        <v>918</v>
      </c>
      <c r="E97" s="143"/>
      <c r="F97" s="21" t="s">
        <v>883</v>
      </c>
      <c r="G97" s="21" t="str">
        <f>VLOOKUP(P97,'CO F3'!$C$2:$M$108,7,FALSE)</f>
        <v>COSKUNOZ MA SRL ROMANIA</v>
      </c>
      <c r="H97" s="21" t="e">
        <f>VLOOKUP(Q97,'CO F3'!$C$2:$M$108,7,FALSE)</f>
        <v>#N/A</v>
      </c>
      <c r="I97" s="17" t="s">
        <v>697</v>
      </c>
      <c r="J97" s="18"/>
      <c r="K97" s="18"/>
      <c r="L97" s="18" t="s">
        <v>13</v>
      </c>
      <c r="M97" s="18"/>
      <c r="N97" s="18"/>
      <c r="O97" s="18"/>
      <c r="P97" s="17" t="s">
        <v>192</v>
      </c>
      <c r="Q97" s="17" t="s">
        <v>864</v>
      </c>
      <c r="R97" s="40" t="s">
        <v>856</v>
      </c>
      <c r="S97" s="40" t="s">
        <v>136</v>
      </c>
      <c r="T97" s="40" t="s">
        <v>187</v>
      </c>
      <c r="U97" s="19" t="s">
        <v>193</v>
      </c>
      <c r="V97" s="13" t="s">
        <v>24</v>
      </c>
      <c r="W97" s="19">
        <v>1</v>
      </c>
      <c r="X97" s="19" t="s">
        <v>199</v>
      </c>
      <c r="Y97" s="19" t="s">
        <v>194</v>
      </c>
      <c r="Z97" s="19">
        <v>1.5</v>
      </c>
      <c r="AA97" s="19">
        <v>9.0999999999999998E-2</v>
      </c>
      <c r="AB97" s="38" t="s">
        <v>30</v>
      </c>
      <c r="AC97" s="19" t="s">
        <v>137</v>
      </c>
      <c r="AD97" s="19" t="s">
        <v>19</v>
      </c>
      <c r="AE97" s="19" t="s">
        <v>20</v>
      </c>
      <c r="AF97" s="19" t="s">
        <v>138</v>
      </c>
      <c r="AG97" s="11"/>
    </row>
    <row r="98" spans="1:33" s="12" customFormat="1" ht="21.95" hidden="1" customHeight="1">
      <c r="A98" s="16">
        <v>97</v>
      </c>
      <c r="B98" s="17">
        <v>12</v>
      </c>
      <c r="C98" s="17">
        <v>22969</v>
      </c>
      <c r="D98" s="17" t="s">
        <v>918</v>
      </c>
      <c r="E98" s="143"/>
      <c r="F98" s="21" t="s">
        <v>893</v>
      </c>
      <c r="G98" s="21" t="str">
        <f>VLOOKUP(P98,'CO F3'!$C$2:$M$108,7,FALSE)</f>
        <v>COSKUNOZ TURKIYE</v>
      </c>
      <c r="H98" s="21" t="e">
        <f>VLOOKUP(Q98,'CO F3'!$C$2:$M$108,7,FALSE)</f>
        <v>#N/A</v>
      </c>
      <c r="I98" s="17" t="s">
        <v>697</v>
      </c>
      <c r="J98" s="18"/>
      <c r="K98" s="18"/>
      <c r="L98" s="18" t="s">
        <v>13</v>
      </c>
      <c r="M98" s="18"/>
      <c r="N98" s="18"/>
      <c r="O98" s="18"/>
      <c r="P98" s="17" t="s">
        <v>183</v>
      </c>
      <c r="Q98" s="17" t="s">
        <v>864</v>
      </c>
      <c r="R98" s="40" t="s">
        <v>847</v>
      </c>
      <c r="S98" s="40" t="s">
        <v>136</v>
      </c>
      <c r="T98" s="40" t="s">
        <v>187</v>
      </c>
      <c r="U98" s="19" t="s">
        <v>184</v>
      </c>
      <c r="V98" s="13" t="s">
        <v>24</v>
      </c>
      <c r="W98" s="19">
        <v>1</v>
      </c>
      <c r="X98" s="19" t="s">
        <v>185</v>
      </c>
      <c r="Y98" s="19" t="s">
        <v>61</v>
      </c>
      <c r="Z98" s="19" t="s">
        <v>186</v>
      </c>
      <c r="AA98" s="19">
        <v>0.247</v>
      </c>
      <c r="AB98" s="38" t="s">
        <v>30</v>
      </c>
      <c r="AC98" s="19" t="s">
        <v>137</v>
      </c>
      <c r="AD98" s="19" t="s">
        <v>19</v>
      </c>
      <c r="AE98" s="19" t="s">
        <v>20</v>
      </c>
      <c r="AF98" s="19" t="s">
        <v>138</v>
      </c>
      <c r="AG98" s="11"/>
    </row>
    <row r="99" spans="1:33" s="12" customFormat="1" ht="21.95" hidden="1" customHeight="1">
      <c r="A99" s="31">
        <v>98</v>
      </c>
      <c r="B99" s="32">
        <v>12</v>
      </c>
      <c r="C99" s="32">
        <v>22969</v>
      </c>
      <c r="D99" s="32" t="s">
        <v>918</v>
      </c>
      <c r="E99" s="145"/>
      <c r="F99" s="21" t="s">
        <v>918</v>
      </c>
      <c r="G99" s="21" t="e">
        <f>VLOOKUP(P99,'CO F3'!$C$2:$M$108,7,FALSE)</f>
        <v>#N/A</v>
      </c>
      <c r="H99" s="21" t="e">
        <f>VLOOKUP(Q99,'CO F3'!$C$2:$M$108,7,FALSE)</f>
        <v>#N/A</v>
      </c>
      <c r="I99" s="32" t="s">
        <v>697</v>
      </c>
      <c r="J99" s="33"/>
      <c r="K99" s="33" t="s">
        <v>13</v>
      </c>
      <c r="L99" s="33"/>
      <c r="M99" s="33"/>
      <c r="N99" s="33"/>
      <c r="O99" s="33"/>
      <c r="P99" s="32" t="s">
        <v>195</v>
      </c>
      <c r="Q99" s="32" t="s">
        <v>849</v>
      </c>
      <c r="R99" s="42" t="s">
        <v>849</v>
      </c>
      <c r="S99" s="42" t="s">
        <v>136</v>
      </c>
      <c r="T99" s="42" t="s">
        <v>135</v>
      </c>
      <c r="U99" s="34" t="s">
        <v>196</v>
      </c>
      <c r="V99" s="35" t="s">
        <v>41</v>
      </c>
      <c r="W99" s="34">
        <v>1</v>
      </c>
      <c r="X99" s="34"/>
      <c r="Y99" s="34"/>
      <c r="Z99" s="34"/>
      <c r="AA99" s="34">
        <v>0</v>
      </c>
      <c r="AB99" s="37" t="s">
        <v>17</v>
      </c>
      <c r="AC99" s="34" t="s">
        <v>137</v>
      </c>
      <c r="AD99" s="34" t="s">
        <v>19</v>
      </c>
      <c r="AE99" s="34" t="s">
        <v>20</v>
      </c>
      <c r="AF99" s="34" t="s">
        <v>138</v>
      </c>
      <c r="AG99" s="11"/>
    </row>
    <row r="100" spans="1:33" s="12" customFormat="1" ht="21.95" hidden="1" customHeight="1">
      <c r="A100" s="16">
        <v>99</v>
      </c>
      <c r="B100" s="17">
        <v>12</v>
      </c>
      <c r="C100" s="17">
        <v>22969</v>
      </c>
      <c r="D100" s="17" t="s">
        <v>918</v>
      </c>
      <c r="E100" s="143"/>
      <c r="F100" s="21" t="s">
        <v>918</v>
      </c>
      <c r="G100" s="21" t="e">
        <f>VLOOKUP(P100,'CO F3'!$C$2:$M$108,7,FALSE)</f>
        <v>#N/A</v>
      </c>
      <c r="H100" s="21" t="e">
        <f>VLOOKUP(Q100,'CO F3'!$C$2:$M$108,7,FALSE)</f>
        <v>#N/A</v>
      </c>
      <c r="I100" s="17" t="s">
        <v>697</v>
      </c>
      <c r="J100" s="18"/>
      <c r="K100" s="18"/>
      <c r="L100" s="18" t="s">
        <v>13</v>
      </c>
      <c r="M100" s="18"/>
      <c r="N100" s="18"/>
      <c r="O100" s="18"/>
      <c r="P100" s="17" t="s">
        <v>197</v>
      </c>
      <c r="Q100" s="17" t="s">
        <v>863</v>
      </c>
      <c r="R100" s="40" t="s">
        <v>852</v>
      </c>
      <c r="S100" s="40" t="s">
        <v>136</v>
      </c>
      <c r="T100" s="40" t="s">
        <v>195</v>
      </c>
      <c r="U100" s="19" t="s">
        <v>198</v>
      </c>
      <c r="V100" s="13" t="s">
        <v>24</v>
      </c>
      <c r="W100" s="19">
        <v>1</v>
      </c>
      <c r="X100" s="19" t="s">
        <v>199</v>
      </c>
      <c r="Y100" s="19" t="s">
        <v>200</v>
      </c>
      <c r="Z100" s="19">
        <v>1.5</v>
      </c>
      <c r="AA100" s="19">
        <v>0.27</v>
      </c>
      <c r="AB100" s="37" t="s">
        <v>17</v>
      </c>
      <c r="AC100" s="19" t="s">
        <v>137</v>
      </c>
      <c r="AD100" s="19" t="s">
        <v>19</v>
      </c>
      <c r="AE100" s="19" t="s">
        <v>20</v>
      </c>
      <c r="AF100" s="19" t="s">
        <v>138</v>
      </c>
      <c r="AG100" s="11"/>
    </row>
    <row r="101" spans="1:33" s="12" customFormat="1" ht="21.95" hidden="1" customHeight="1">
      <c r="A101" s="24">
        <v>100</v>
      </c>
      <c r="B101" s="25">
        <v>12</v>
      </c>
      <c r="C101" s="25">
        <v>22969</v>
      </c>
      <c r="D101" s="25" t="s">
        <v>918</v>
      </c>
      <c r="E101" s="144"/>
      <c r="F101" s="21" t="s">
        <v>917</v>
      </c>
      <c r="G101" s="21" t="e">
        <f>VLOOKUP(P101,'CO F3'!$C$2:$M$108,7,FALSE)</f>
        <v>#N/A</v>
      </c>
      <c r="H101" s="21" t="e">
        <f>VLOOKUP(Q101,'CO F3'!$C$2:$M$108,7,FALSE)</f>
        <v>#N/A</v>
      </c>
      <c r="I101" s="25" t="s">
        <v>697</v>
      </c>
      <c r="J101" s="26"/>
      <c r="K101" s="26"/>
      <c r="L101" s="26" t="s">
        <v>13</v>
      </c>
      <c r="M101" s="26"/>
      <c r="N101" s="26"/>
      <c r="O101" s="26"/>
      <c r="P101" s="25">
        <v>7703042122</v>
      </c>
      <c r="Q101" s="25" t="s">
        <v>864</v>
      </c>
      <c r="R101" s="41" t="s">
        <v>848</v>
      </c>
      <c r="S101" s="41" t="s">
        <v>136</v>
      </c>
      <c r="T101" s="41" t="s">
        <v>195</v>
      </c>
      <c r="U101" s="27" t="s">
        <v>201</v>
      </c>
      <c r="V101" s="15" t="s">
        <v>29</v>
      </c>
      <c r="W101" s="27">
        <v>1</v>
      </c>
      <c r="X101" s="27"/>
      <c r="Y101" s="27"/>
      <c r="Z101" s="27"/>
      <c r="AA101" s="27">
        <v>7.0000000000000001E-3</v>
      </c>
      <c r="AB101" s="38" t="s">
        <v>30</v>
      </c>
      <c r="AC101" s="27" t="s">
        <v>137</v>
      </c>
      <c r="AD101" s="27" t="s">
        <v>19</v>
      </c>
      <c r="AE101" s="27" t="s">
        <v>20</v>
      </c>
      <c r="AF101" s="27" t="s">
        <v>138</v>
      </c>
      <c r="AG101" s="11"/>
    </row>
    <row r="102" spans="1:33" s="12" customFormat="1" ht="21.95" hidden="1" customHeight="1">
      <c r="A102" s="20">
        <v>101</v>
      </c>
      <c r="B102" s="21">
        <v>12</v>
      </c>
      <c r="C102" s="21">
        <v>22969</v>
      </c>
      <c r="D102" s="21" t="s">
        <v>918</v>
      </c>
      <c r="E102" s="142"/>
      <c r="F102" s="21" t="s">
        <v>918</v>
      </c>
      <c r="G102" s="21" t="s">
        <v>918</v>
      </c>
      <c r="H102" s="21" t="s">
        <v>918</v>
      </c>
      <c r="I102" s="21" t="s">
        <v>697</v>
      </c>
      <c r="J102" s="22" t="s">
        <v>13</v>
      </c>
      <c r="K102" s="22"/>
      <c r="L102" s="22"/>
      <c r="M102" s="22"/>
      <c r="N102" s="22"/>
      <c r="O102" s="22"/>
      <c r="P102" s="21" t="s">
        <v>202</v>
      </c>
      <c r="Q102" s="21" t="s">
        <v>861</v>
      </c>
      <c r="R102" s="39" t="s">
        <v>848</v>
      </c>
      <c r="S102" s="39" t="s">
        <v>203</v>
      </c>
      <c r="T102" s="39"/>
      <c r="U102" s="23" t="s">
        <v>203</v>
      </c>
      <c r="V102" s="14" t="s">
        <v>16</v>
      </c>
      <c r="W102" s="23">
        <v>1</v>
      </c>
      <c r="X102" s="23"/>
      <c r="Y102" s="23"/>
      <c r="Z102" s="23"/>
      <c r="AA102" s="23">
        <v>8.472999999999999</v>
      </c>
      <c r="AB102" s="37" t="s">
        <v>17</v>
      </c>
      <c r="AC102" s="23" t="s">
        <v>204</v>
      </c>
      <c r="AD102" s="23" t="s">
        <v>19</v>
      </c>
      <c r="AE102" s="23" t="s">
        <v>20</v>
      </c>
      <c r="AF102" s="23" t="s">
        <v>138</v>
      </c>
      <c r="AG102" s="11"/>
    </row>
    <row r="103" spans="1:33" s="12" customFormat="1" ht="21.95" hidden="1" customHeight="1">
      <c r="A103" s="16">
        <v>102</v>
      </c>
      <c r="B103" s="17">
        <v>12</v>
      </c>
      <c r="C103" s="17">
        <v>22969</v>
      </c>
      <c r="D103" s="17" t="s">
        <v>918</v>
      </c>
      <c r="E103" s="143"/>
      <c r="F103" s="21" t="s">
        <v>884</v>
      </c>
      <c r="G103" s="21" t="str">
        <f>VLOOKUP(P103,'CO F3'!$C$2:$M$108,7,FALSE)</f>
        <v>COSKUNOZ MA SRL ROMANIA</v>
      </c>
      <c r="H103" s="21" t="e">
        <f>VLOOKUP(Q103,'CO F3'!$C$2:$M$108,7,FALSE)</f>
        <v>#N/A</v>
      </c>
      <c r="I103" s="17" t="s">
        <v>697</v>
      </c>
      <c r="J103" s="18"/>
      <c r="K103" s="18" t="s">
        <v>13</v>
      </c>
      <c r="L103" s="18"/>
      <c r="M103" s="18"/>
      <c r="N103" s="18"/>
      <c r="O103" s="18"/>
      <c r="P103" s="17" t="s">
        <v>139</v>
      </c>
      <c r="Q103" s="17" t="s">
        <v>865</v>
      </c>
      <c r="R103" s="40" t="s">
        <v>847</v>
      </c>
      <c r="S103" s="40" t="s">
        <v>203</v>
      </c>
      <c r="T103" s="40" t="s">
        <v>202</v>
      </c>
      <c r="U103" s="19" t="s">
        <v>140</v>
      </c>
      <c r="V103" s="13" t="s">
        <v>24</v>
      </c>
      <c r="W103" s="19">
        <v>1</v>
      </c>
      <c r="X103" s="19" t="s">
        <v>141</v>
      </c>
      <c r="Y103" s="19" t="s">
        <v>134</v>
      </c>
      <c r="Z103" s="19">
        <v>1.2</v>
      </c>
      <c r="AA103" s="19">
        <v>2.766</v>
      </c>
      <c r="AB103" s="38" t="s">
        <v>30</v>
      </c>
      <c r="AC103" s="19" t="s">
        <v>204</v>
      </c>
      <c r="AD103" s="19" t="s">
        <v>19</v>
      </c>
      <c r="AE103" s="19" t="s">
        <v>20</v>
      </c>
      <c r="AF103" s="19" t="s">
        <v>138</v>
      </c>
      <c r="AG103" s="11"/>
    </row>
    <row r="104" spans="1:33" s="12" customFormat="1" ht="21.95" hidden="1" customHeight="1">
      <c r="A104" s="16">
        <v>103</v>
      </c>
      <c r="B104" s="17">
        <v>12</v>
      </c>
      <c r="C104" s="17">
        <v>22969</v>
      </c>
      <c r="D104" s="17" t="s">
        <v>918</v>
      </c>
      <c r="E104" s="143"/>
      <c r="F104" s="21" t="s">
        <v>918</v>
      </c>
      <c r="G104" s="21" t="e">
        <f>VLOOKUP(P104,'CO F3'!$C$2:$M$108,7,FALSE)</f>
        <v>#N/A</v>
      </c>
      <c r="H104" s="21" t="e">
        <f>VLOOKUP(Q104,'CO F3'!$C$2:$M$108,7,FALSE)</f>
        <v>#N/A</v>
      </c>
      <c r="I104" s="17" t="s">
        <v>697</v>
      </c>
      <c r="J104" s="18"/>
      <c r="K104" s="18" t="s">
        <v>13</v>
      </c>
      <c r="L104" s="18"/>
      <c r="M104" s="18"/>
      <c r="N104" s="18"/>
      <c r="O104" s="18"/>
      <c r="P104" s="17" t="s">
        <v>159</v>
      </c>
      <c r="Q104" s="17" t="s">
        <v>864</v>
      </c>
      <c r="R104" s="40" t="s">
        <v>851</v>
      </c>
      <c r="S104" s="40" t="s">
        <v>203</v>
      </c>
      <c r="T104" s="40" t="s">
        <v>202</v>
      </c>
      <c r="U104" s="19" t="s">
        <v>160</v>
      </c>
      <c r="V104" s="13" t="s">
        <v>24</v>
      </c>
      <c r="W104" s="19">
        <v>1</v>
      </c>
      <c r="X104" s="19" t="s">
        <v>462</v>
      </c>
      <c r="Y104" s="19" t="s">
        <v>93</v>
      </c>
      <c r="Z104" s="19">
        <v>1.18</v>
      </c>
      <c r="AA104" s="19">
        <v>0.5</v>
      </c>
      <c r="AB104" s="37" t="s">
        <v>17</v>
      </c>
      <c r="AC104" s="19" t="s">
        <v>204</v>
      </c>
      <c r="AD104" s="19" t="s">
        <v>19</v>
      </c>
      <c r="AE104" s="19" t="s">
        <v>20</v>
      </c>
      <c r="AF104" s="19" t="s">
        <v>138</v>
      </c>
      <c r="AG104" s="11"/>
    </row>
    <row r="105" spans="1:33" s="12" customFormat="1" ht="21.95" hidden="1" customHeight="1">
      <c r="A105" s="31">
        <v>104</v>
      </c>
      <c r="B105" s="32">
        <v>12</v>
      </c>
      <c r="C105" s="32">
        <v>22969</v>
      </c>
      <c r="D105" s="32" t="s">
        <v>918</v>
      </c>
      <c r="E105" s="145"/>
      <c r="F105" s="21" t="s">
        <v>918</v>
      </c>
      <c r="G105" s="21" t="e">
        <f>VLOOKUP(P105,'CO F3'!$C$2:$M$108,7,FALSE)</f>
        <v>#N/A</v>
      </c>
      <c r="H105" s="21" t="e">
        <f>VLOOKUP(Q105,'CO F3'!$C$2:$M$108,7,FALSE)</f>
        <v>#N/A</v>
      </c>
      <c r="I105" s="32" t="s">
        <v>697</v>
      </c>
      <c r="J105" s="33"/>
      <c r="K105" s="33" t="s">
        <v>13</v>
      </c>
      <c r="L105" s="33"/>
      <c r="M105" s="33"/>
      <c r="N105" s="33"/>
      <c r="O105" s="33"/>
      <c r="P105" s="32" t="s">
        <v>161</v>
      </c>
      <c r="Q105" s="32" t="s">
        <v>849</v>
      </c>
      <c r="R105" s="42" t="s">
        <v>849</v>
      </c>
      <c r="S105" s="42" t="s">
        <v>203</v>
      </c>
      <c r="T105" s="42" t="s">
        <v>202</v>
      </c>
      <c r="U105" s="34" t="s">
        <v>162</v>
      </c>
      <c r="V105" s="35" t="s">
        <v>41</v>
      </c>
      <c r="W105" s="34">
        <v>1</v>
      </c>
      <c r="X105" s="34"/>
      <c r="Y105" s="34"/>
      <c r="Z105" s="34"/>
      <c r="AA105" s="34">
        <v>0</v>
      </c>
      <c r="AB105" s="37" t="s">
        <v>17</v>
      </c>
      <c r="AC105" s="34" t="s">
        <v>204</v>
      </c>
      <c r="AD105" s="34" t="s">
        <v>19</v>
      </c>
      <c r="AE105" s="34" t="s">
        <v>20</v>
      </c>
      <c r="AF105" s="34" t="s">
        <v>138</v>
      </c>
      <c r="AG105" s="11"/>
    </row>
    <row r="106" spans="1:33" s="12" customFormat="1" ht="21.95" hidden="1" customHeight="1">
      <c r="A106" s="16">
        <v>105</v>
      </c>
      <c r="B106" s="17">
        <v>12</v>
      </c>
      <c r="C106" s="17">
        <v>22969</v>
      </c>
      <c r="D106" s="17" t="s">
        <v>918</v>
      </c>
      <c r="E106" s="143"/>
      <c r="F106" s="21" t="s">
        <v>918</v>
      </c>
      <c r="G106" s="21" t="e">
        <f>VLOOKUP(P106,'CO F3'!$C$2:$M$108,7,FALSE)</f>
        <v>#N/A</v>
      </c>
      <c r="H106" s="21" t="e">
        <f>VLOOKUP(Q106,'CO F3'!$C$2:$M$108,7,FALSE)</f>
        <v>#N/A</v>
      </c>
      <c r="I106" s="17" t="s">
        <v>697</v>
      </c>
      <c r="J106" s="18"/>
      <c r="K106" s="18"/>
      <c r="L106" s="18" t="s">
        <v>13</v>
      </c>
      <c r="M106" s="18"/>
      <c r="N106" s="18"/>
      <c r="O106" s="18"/>
      <c r="P106" s="17" t="s">
        <v>163</v>
      </c>
      <c r="Q106" s="17" t="s">
        <v>863</v>
      </c>
      <c r="R106" s="40" t="s">
        <v>858</v>
      </c>
      <c r="S106" s="40" t="s">
        <v>203</v>
      </c>
      <c r="T106" s="40" t="s">
        <v>161</v>
      </c>
      <c r="U106" s="19" t="s">
        <v>205</v>
      </c>
      <c r="V106" s="13" t="s">
        <v>24</v>
      </c>
      <c r="W106" s="19">
        <v>1</v>
      </c>
      <c r="X106" s="19" t="s">
        <v>548</v>
      </c>
      <c r="Y106" s="19" t="s">
        <v>93</v>
      </c>
      <c r="Z106" s="19">
        <v>1.17</v>
      </c>
      <c r="AA106" s="19">
        <v>1.94</v>
      </c>
      <c r="AB106" s="37" t="s">
        <v>17</v>
      </c>
      <c r="AC106" s="19" t="s">
        <v>204</v>
      </c>
      <c r="AD106" s="19" t="s">
        <v>19</v>
      </c>
      <c r="AE106" s="19" t="s">
        <v>20</v>
      </c>
      <c r="AF106" s="19" t="s">
        <v>138</v>
      </c>
      <c r="AG106" s="11"/>
    </row>
    <row r="107" spans="1:33" s="12" customFormat="1" ht="21.95" hidden="1" customHeight="1">
      <c r="A107" s="16">
        <v>106</v>
      </c>
      <c r="B107" s="17">
        <v>12</v>
      </c>
      <c r="C107" s="17">
        <v>22969</v>
      </c>
      <c r="D107" s="17" t="s">
        <v>918</v>
      </c>
      <c r="E107" s="143"/>
      <c r="F107" s="21" t="s">
        <v>881</v>
      </c>
      <c r="G107" s="21" t="str">
        <f>VLOOKUP(P107,'CO F3'!$C$2:$M$108,7,FALSE)</f>
        <v>GMD METAL TANGER</v>
      </c>
      <c r="H107" s="21" t="e">
        <f>VLOOKUP(Q107,'CO F3'!$C$2:$M$108,7,FALSE)</f>
        <v>#N/A</v>
      </c>
      <c r="I107" s="17" t="s">
        <v>697</v>
      </c>
      <c r="J107" s="18"/>
      <c r="K107" s="18"/>
      <c r="L107" s="18" t="s">
        <v>13</v>
      </c>
      <c r="M107" s="18"/>
      <c r="N107" s="18"/>
      <c r="O107" s="18"/>
      <c r="P107" s="17" t="s">
        <v>165</v>
      </c>
      <c r="Q107" s="17" t="s">
        <v>863</v>
      </c>
      <c r="R107" s="40" t="s">
        <v>847</v>
      </c>
      <c r="S107" s="40" t="s">
        <v>203</v>
      </c>
      <c r="T107" s="40" t="s">
        <v>161</v>
      </c>
      <c r="U107" s="19" t="s">
        <v>166</v>
      </c>
      <c r="V107" s="13" t="s">
        <v>24</v>
      </c>
      <c r="W107" s="19">
        <v>1</v>
      </c>
      <c r="X107" s="19" t="s">
        <v>141</v>
      </c>
      <c r="Y107" s="19" t="s">
        <v>134</v>
      </c>
      <c r="Z107" s="19">
        <v>1</v>
      </c>
      <c r="AA107" s="19">
        <v>5.8999999999999997E-2</v>
      </c>
      <c r="AB107" s="38" t="s">
        <v>30</v>
      </c>
      <c r="AC107" s="19" t="s">
        <v>204</v>
      </c>
      <c r="AD107" s="19" t="s">
        <v>19</v>
      </c>
      <c r="AE107" s="19" t="s">
        <v>20</v>
      </c>
      <c r="AF107" s="19" t="s">
        <v>138</v>
      </c>
      <c r="AG107" s="11"/>
    </row>
    <row r="108" spans="1:33" s="12" customFormat="1" ht="21.95" hidden="1" customHeight="1">
      <c r="A108" s="16">
        <v>107</v>
      </c>
      <c r="B108" s="17">
        <v>12</v>
      </c>
      <c r="C108" s="17">
        <v>22969</v>
      </c>
      <c r="D108" s="17" t="s">
        <v>918</v>
      </c>
      <c r="E108" s="143"/>
      <c r="F108" s="21" t="s">
        <v>881</v>
      </c>
      <c r="G108" s="21" t="str">
        <f>VLOOKUP(P108,'CO F3'!$C$2:$M$108,7,FALSE)</f>
        <v>GMD METAL TANGER</v>
      </c>
      <c r="H108" s="21" t="e">
        <f>VLOOKUP(Q108,'CO F3'!$C$2:$M$108,7,FALSE)</f>
        <v>#N/A</v>
      </c>
      <c r="I108" s="17" t="s">
        <v>697</v>
      </c>
      <c r="J108" s="18"/>
      <c r="K108" s="18"/>
      <c r="L108" s="18" t="s">
        <v>13</v>
      </c>
      <c r="M108" s="18"/>
      <c r="N108" s="18"/>
      <c r="O108" s="18"/>
      <c r="P108" s="17" t="s">
        <v>167</v>
      </c>
      <c r="Q108" s="17" t="s">
        <v>864</v>
      </c>
      <c r="R108" s="40" t="s">
        <v>847</v>
      </c>
      <c r="S108" s="40" t="s">
        <v>203</v>
      </c>
      <c r="T108" s="40" t="s">
        <v>161</v>
      </c>
      <c r="U108" s="19" t="s">
        <v>166</v>
      </c>
      <c r="V108" s="13" t="s">
        <v>24</v>
      </c>
      <c r="W108" s="19">
        <v>1</v>
      </c>
      <c r="X108" s="19" t="s">
        <v>141</v>
      </c>
      <c r="Y108" s="19" t="s">
        <v>134</v>
      </c>
      <c r="Z108" s="19">
        <v>1</v>
      </c>
      <c r="AA108" s="19">
        <v>0.04</v>
      </c>
      <c r="AB108" s="38" t="s">
        <v>30</v>
      </c>
      <c r="AC108" s="19" t="s">
        <v>204</v>
      </c>
      <c r="AD108" s="19" t="s">
        <v>19</v>
      </c>
      <c r="AE108" s="19" t="s">
        <v>20</v>
      </c>
      <c r="AF108" s="19" t="s">
        <v>138</v>
      </c>
      <c r="AG108" s="11"/>
    </row>
    <row r="109" spans="1:33" s="12" customFormat="1" ht="21.95" hidden="1" customHeight="1">
      <c r="A109" s="16">
        <v>108</v>
      </c>
      <c r="B109" s="17">
        <v>12</v>
      </c>
      <c r="C109" s="17">
        <v>22969</v>
      </c>
      <c r="D109" s="17" t="s">
        <v>918</v>
      </c>
      <c r="E109" s="143"/>
      <c r="F109" s="21" t="s">
        <v>881</v>
      </c>
      <c r="G109" s="21" t="str">
        <f>VLOOKUP(P109,'CO F3'!$C$2:$M$108,7,FALSE)</f>
        <v>GMD METAL TANGER</v>
      </c>
      <c r="H109" s="21" t="e">
        <f>VLOOKUP(Q109,'CO F3'!$C$2:$M$108,7,FALSE)</f>
        <v>#N/A</v>
      </c>
      <c r="I109" s="17" t="s">
        <v>697</v>
      </c>
      <c r="J109" s="18"/>
      <c r="K109" s="18"/>
      <c r="L109" s="18" t="s">
        <v>13</v>
      </c>
      <c r="M109" s="18"/>
      <c r="N109" s="18"/>
      <c r="O109" s="18"/>
      <c r="P109" s="17" t="s">
        <v>168</v>
      </c>
      <c r="Q109" s="17" t="s">
        <v>868</v>
      </c>
      <c r="R109" s="40" t="s">
        <v>853</v>
      </c>
      <c r="S109" s="40" t="s">
        <v>203</v>
      </c>
      <c r="T109" s="40" t="s">
        <v>161</v>
      </c>
      <c r="U109" s="19" t="s">
        <v>169</v>
      </c>
      <c r="V109" s="13" t="s">
        <v>24</v>
      </c>
      <c r="W109" s="19">
        <v>1</v>
      </c>
      <c r="X109" s="19" t="s">
        <v>170</v>
      </c>
      <c r="Y109" s="19" t="s">
        <v>171</v>
      </c>
      <c r="Z109" s="19">
        <v>1.5</v>
      </c>
      <c r="AA109" s="19">
        <v>0.14000000000000001</v>
      </c>
      <c r="AB109" s="38" t="s">
        <v>30</v>
      </c>
      <c r="AC109" s="19" t="s">
        <v>204</v>
      </c>
      <c r="AD109" s="19" t="s">
        <v>19</v>
      </c>
      <c r="AE109" s="19" t="s">
        <v>20</v>
      </c>
      <c r="AF109" s="19" t="s">
        <v>138</v>
      </c>
      <c r="AG109" s="11"/>
    </row>
    <row r="110" spans="1:33" s="12" customFormat="1" ht="21.95" hidden="1" customHeight="1">
      <c r="A110" s="16">
        <v>109</v>
      </c>
      <c r="B110" s="17">
        <v>12</v>
      </c>
      <c r="C110" s="17">
        <v>22969</v>
      </c>
      <c r="D110" s="17" t="s">
        <v>918</v>
      </c>
      <c r="E110" s="143"/>
      <c r="F110" s="21" t="s">
        <v>897</v>
      </c>
      <c r="G110" s="21" t="str">
        <f>VLOOKUP(P110,'CO F3'!$C$2:$M$108,7,FALSE)</f>
        <v>MUSA PITESTI ROMANIA</v>
      </c>
      <c r="H110" s="21" t="e">
        <f>VLOOKUP(Q110,'CO F3'!$C$2:$M$108,7,FALSE)</f>
        <v>#N/A</v>
      </c>
      <c r="I110" s="17" t="s">
        <v>697</v>
      </c>
      <c r="J110" s="18"/>
      <c r="K110" s="18"/>
      <c r="L110" s="18" t="s">
        <v>13</v>
      </c>
      <c r="M110" s="18"/>
      <c r="N110" s="18"/>
      <c r="O110" s="18"/>
      <c r="P110" s="17" t="s">
        <v>172</v>
      </c>
      <c r="Q110" s="17" t="s">
        <v>861</v>
      </c>
      <c r="R110" s="40" t="s">
        <v>853</v>
      </c>
      <c r="S110" s="40" t="s">
        <v>203</v>
      </c>
      <c r="T110" s="40" t="s">
        <v>161</v>
      </c>
      <c r="U110" s="19" t="s">
        <v>173</v>
      </c>
      <c r="V110" s="13" t="s">
        <v>24</v>
      </c>
      <c r="W110" s="19">
        <v>1</v>
      </c>
      <c r="X110" s="19" t="s">
        <v>174</v>
      </c>
      <c r="Y110" s="19" t="s">
        <v>134</v>
      </c>
      <c r="Z110" s="19">
        <v>2.5</v>
      </c>
      <c r="AA110" s="19">
        <v>0.21</v>
      </c>
      <c r="AB110" s="38" t="s">
        <v>30</v>
      </c>
      <c r="AC110" s="19" t="s">
        <v>204</v>
      </c>
      <c r="AD110" s="19" t="s">
        <v>19</v>
      </c>
      <c r="AE110" s="19" t="s">
        <v>20</v>
      </c>
      <c r="AF110" s="19" t="s">
        <v>138</v>
      </c>
      <c r="AG110" s="11"/>
    </row>
    <row r="111" spans="1:33" s="12" customFormat="1" ht="21.95" hidden="1" customHeight="1">
      <c r="A111" s="31">
        <v>110</v>
      </c>
      <c r="B111" s="32">
        <v>12</v>
      </c>
      <c r="C111" s="32">
        <v>22969</v>
      </c>
      <c r="D111" s="32" t="s">
        <v>918</v>
      </c>
      <c r="E111" s="145"/>
      <c r="F111" s="133" t="s">
        <v>884</v>
      </c>
      <c r="G111" s="21" t="str">
        <f>VLOOKUP(P111,'CO F3'!$C$2:$M$108,7,FALSE)</f>
        <v>COSKUNOZ MA SRL ROMANIA</v>
      </c>
      <c r="H111" s="21" t="e">
        <f>VLOOKUP(Q111,'CO F3'!$C$2:$M$108,7,FALSE)</f>
        <v>#N/A</v>
      </c>
      <c r="I111" s="32" t="s">
        <v>697</v>
      </c>
      <c r="J111" s="33"/>
      <c r="K111" s="33" t="s">
        <v>13</v>
      </c>
      <c r="L111" s="33"/>
      <c r="M111" s="33"/>
      <c r="N111" s="33"/>
      <c r="O111" s="33"/>
      <c r="P111" s="32" t="s">
        <v>175</v>
      </c>
      <c r="Q111" s="32" t="s">
        <v>849</v>
      </c>
      <c r="R111" s="42" t="s">
        <v>849</v>
      </c>
      <c r="S111" s="42" t="s">
        <v>203</v>
      </c>
      <c r="T111" s="42" t="s">
        <v>202</v>
      </c>
      <c r="U111" s="34" t="s">
        <v>176</v>
      </c>
      <c r="V111" s="35" t="s">
        <v>41</v>
      </c>
      <c r="W111" s="34">
        <v>1</v>
      </c>
      <c r="X111" s="34"/>
      <c r="Y111" s="34"/>
      <c r="Z111" s="34"/>
      <c r="AA111" s="34">
        <v>0</v>
      </c>
      <c r="AB111" s="38" t="s">
        <v>30</v>
      </c>
      <c r="AC111" s="34" t="s">
        <v>204</v>
      </c>
      <c r="AD111" s="34" t="s">
        <v>19</v>
      </c>
      <c r="AE111" s="34" t="s">
        <v>20</v>
      </c>
      <c r="AF111" s="34" t="s">
        <v>138</v>
      </c>
      <c r="AG111" s="11"/>
    </row>
    <row r="112" spans="1:33" s="12" customFormat="1" ht="21.95" hidden="1" customHeight="1">
      <c r="A112" s="16">
        <v>111</v>
      </c>
      <c r="B112" s="17">
        <v>12</v>
      </c>
      <c r="C112" s="17">
        <v>22969</v>
      </c>
      <c r="D112" s="17" t="s">
        <v>918</v>
      </c>
      <c r="E112" s="143"/>
      <c r="F112" s="133" t="s">
        <v>917</v>
      </c>
      <c r="G112" s="21" t="e">
        <f>VLOOKUP(P112,'CO F3'!$C$2:$M$108,7,FALSE)</f>
        <v>#N/A</v>
      </c>
      <c r="H112" s="21" t="e">
        <f>VLOOKUP(Q112,'CO F3'!$C$2:$M$108,7,FALSE)</f>
        <v>#N/A</v>
      </c>
      <c r="I112" s="17" t="s">
        <v>697</v>
      </c>
      <c r="J112" s="18"/>
      <c r="K112" s="18"/>
      <c r="L112" s="18" t="s">
        <v>13</v>
      </c>
      <c r="M112" s="18"/>
      <c r="N112" s="18"/>
      <c r="O112" s="18"/>
      <c r="P112" s="17" t="s">
        <v>177</v>
      </c>
      <c r="Q112" s="17" t="s">
        <v>863</v>
      </c>
      <c r="R112" s="40" t="s">
        <v>847</v>
      </c>
      <c r="S112" s="40" t="s">
        <v>203</v>
      </c>
      <c r="T112" s="40" t="s">
        <v>175</v>
      </c>
      <c r="U112" s="19" t="s">
        <v>178</v>
      </c>
      <c r="V112" s="13" t="s">
        <v>24</v>
      </c>
      <c r="W112" s="19">
        <v>1</v>
      </c>
      <c r="X112" s="19" t="s">
        <v>179</v>
      </c>
      <c r="Y112" s="19" t="s">
        <v>180</v>
      </c>
      <c r="Z112" s="19">
        <v>1.96</v>
      </c>
      <c r="AA112" s="19">
        <v>0.36899999999999999</v>
      </c>
      <c r="AB112" s="38" t="s">
        <v>30</v>
      </c>
      <c r="AC112" s="19" t="s">
        <v>204</v>
      </c>
      <c r="AD112" s="19" t="s">
        <v>19</v>
      </c>
      <c r="AE112" s="19" t="s">
        <v>20</v>
      </c>
      <c r="AF112" s="19" t="s">
        <v>138</v>
      </c>
      <c r="AG112" s="11"/>
    </row>
    <row r="113" spans="1:33" s="12" customFormat="1" ht="21.95" hidden="1" customHeight="1">
      <c r="A113" s="16">
        <v>112</v>
      </c>
      <c r="B113" s="17">
        <v>12</v>
      </c>
      <c r="C113" s="17">
        <v>22969</v>
      </c>
      <c r="D113" s="17" t="s">
        <v>918</v>
      </c>
      <c r="E113" s="143"/>
      <c r="F113" s="133" t="s">
        <v>917</v>
      </c>
      <c r="G113" s="21" t="e">
        <f>VLOOKUP(P113,'CO F3'!$C$2:$M$108,7,FALSE)</f>
        <v>#N/A</v>
      </c>
      <c r="H113" s="21" t="e">
        <f>VLOOKUP(Q113,'CO F3'!$C$2:$M$108,7,FALSE)</f>
        <v>#N/A</v>
      </c>
      <c r="I113" s="17" t="s">
        <v>697</v>
      </c>
      <c r="J113" s="18"/>
      <c r="K113" s="18"/>
      <c r="L113" s="18" t="s">
        <v>13</v>
      </c>
      <c r="M113" s="18"/>
      <c r="N113" s="18"/>
      <c r="O113" s="18"/>
      <c r="P113" s="17" t="s">
        <v>181</v>
      </c>
      <c r="Q113" s="17" t="s">
        <v>864</v>
      </c>
      <c r="R113" s="40" t="s">
        <v>856</v>
      </c>
      <c r="S113" s="40" t="s">
        <v>203</v>
      </c>
      <c r="T113" s="40" t="s">
        <v>175</v>
      </c>
      <c r="U113" s="19" t="s">
        <v>182</v>
      </c>
      <c r="V113" s="13" t="s">
        <v>24</v>
      </c>
      <c r="W113" s="19">
        <v>1</v>
      </c>
      <c r="X113" s="19" t="s">
        <v>179</v>
      </c>
      <c r="Y113" s="19" t="s">
        <v>180</v>
      </c>
      <c r="Z113" s="19">
        <v>1.96</v>
      </c>
      <c r="AA113" s="19">
        <v>0.24099999999999999</v>
      </c>
      <c r="AB113" s="38" t="s">
        <v>30</v>
      </c>
      <c r="AC113" s="19" t="s">
        <v>204</v>
      </c>
      <c r="AD113" s="19" t="s">
        <v>19</v>
      </c>
      <c r="AE113" s="19" t="s">
        <v>20</v>
      </c>
      <c r="AF113" s="19" t="s">
        <v>138</v>
      </c>
      <c r="AG113" s="11"/>
    </row>
    <row r="114" spans="1:33" s="12" customFormat="1" ht="21.95" hidden="1" customHeight="1">
      <c r="A114" s="16">
        <v>113</v>
      </c>
      <c r="B114" s="17">
        <v>12</v>
      </c>
      <c r="C114" s="17">
        <v>22969</v>
      </c>
      <c r="D114" s="17" t="s">
        <v>918</v>
      </c>
      <c r="E114" s="143"/>
      <c r="F114" s="133" t="s">
        <v>893</v>
      </c>
      <c r="G114" s="21" t="str">
        <f>VLOOKUP(P114,'CO F3'!$C$2:$M$108,7,FALSE)</f>
        <v>COSKUNOZ TURKIYE</v>
      </c>
      <c r="H114" s="21" t="e">
        <f>VLOOKUP(Q114,'CO F3'!$C$2:$M$108,7,FALSE)</f>
        <v>#N/A</v>
      </c>
      <c r="I114" s="17" t="s">
        <v>697</v>
      </c>
      <c r="J114" s="18"/>
      <c r="K114" s="18"/>
      <c r="L114" s="18" t="s">
        <v>13</v>
      </c>
      <c r="M114" s="18"/>
      <c r="N114" s="18"/>
      <c r="O114" s="18"/>
      <c r="P114" s="17" t="s">
        <v>183</v>
      </c>
      <c r="Q114" s="17" t="s">
        <v>864</v>
      </c>
      <c r="R114" s="40" t="s">
        <v>847</v>
      </c>
      <c r="S114" s="40" t="s">
        <v>203</v>
      </c>
      <c r="T114" s="40" t="s">
        <v>175</v>
      </c>
      <c r="U114" s="19" t="s">
        <v>184</v>
      </c>
      <c r="V114" s="13" t="s">
        <v>24</v>
      </c>
      <c r="W114" s="19">
        <v>1</v>
      </c>
      <c r="X114" s="19" t="s">
        <v>185</v>
      </c>
      <c r="Y114" s="19" t="s">
        <v>61</v>
      </c>
      <c r="Z114" s="19" t="s">
        <v>186</v>
      </c>
      <c r="AA114" s="19">
        <v>0.247</v>
      </c>
      <c r="AB114" s="38" t="s">
        <v>30</v>
      </c>
      <c r="AC114" s="19" t="s">
        <v>204</v>
      </c>
      <c r="AD114" s="19" t="s">
        <v>19</v>
      </c>
      <c r="AE114" s="19" t="s">
        <v>20</v>
      </c>
      <c r="AF114" s="19" t="s">
        <v>138</v>
      </c>
      <c r="AG114" s="11"/>
    </row>
    <row r="115" spans="1:33" s="12" customFormat="1" ht="21.95" hidden="1" customHeight="1">
      <c r="A115" s="31">
        <v>114</v>
      </c>
      <c r="B115" s="32">
        <v>12</v>
      </c>
      <c r="C115" s="32">
        <v>22969</v>
      </c>
      <c r="D115" s="32" t="s">
        <v>918</v>
      </c>
      <c r="E115" s="145"/>
      <c r="F115" s="21" t="s">
        <v>918</v>
      </c>
      <c r="G115" s="21" t="e">
        <f>VLOOKUP(P115,'CO F3'!$C$2:$M$108,7,FALSE)</f>
        <v>#N/A</v>
      </c>
      <c r="H115" s="21" t="e">
        <f>VLOOKUP(Q115,'CO F3'!$C$2:$M$108,7,FALSE)</f>
        <v>#N/A</v>
      </c>
      <c r="I115" s="32" t="s">
        <v>697</v>
      </c>
      <c r="J115" s="33"/>
      <c r="K115" s="33" t="s">
        <v>13</v>
      </c>
      <c r="L115" s="33"/>
      <c r="M115" s="33"/>
      <c r="N115" s="33"/>
      <c r="O115" s="33"/>
      <c r="P115" s="32" t="s">
        <v>187</v>
      </c>
      <c r="Q115" s="32" t="s">
        <v>849</v>
      </c>
      <c r="R115" s="42" t="s">
        <v>849</v>
      </c>
      <c r="S115" s="42" t="s">
        <v>203</v>
      </c>
      <c r="T115" s="42" t="s">
        <v>202</v>
      </c>
      <c r="U115" s="34" t="s">
        <v>188</v>
      </c>
      <c r="V115" s="35" t="s">
        <v>41</v>
      </c>
      <c r="W115" s="34">
        <v>1</v>
      </c>
      <c r="X115" s="34"/>
      <c r="Y115" s="34"/>
      <c r="Z115" s="34"/>
      <c r="AA115" s="34">
        <v>0</v>
      </c>
      <c r="AB115" s="37" t="s">
        <v>17</v>
      </c>
      <c r="AC115" s="34" t="s">
        <v>204</v>
      </c>
      <c r="AD115" s="34" t="s">
        <v>19</v>
      </c>
      <c r="AE115" s="34" t="s">
        <v>20</v>
      </c>
      <c r="AF115" s="34" t="s">
        <v>138</v>
      </c>
      <c r="AG115" s="11"/>
    </row>
    <row r="116" spans="1:33" s="12" customFormat="1" ht="21.95" hidden="1" customHeight="1">
      <c r="A116" s="16">
        <v>115</v>
      </c>
      <c r="B116" s="17">
        <v>12</v>
      </c>
      <c r="C116" s="17">
        <v>22969</v>
      </c>
      <c r="D116" s="17" t="s">
        <v>918</v>
      </c>
      <c r="E116" s="143"/>
      <c r="F116" s="21" t="s">
        <v>918</v>
      </c>
      <c r="G116" s="21" t="e">
        <f>VLOOKUP(P116,'CO F3'!$C$2:$M$108,7,FALSE)</f>
        <v>#N/A</v>
      </c>
      <c r="H116" s="21" t="e">
        <f>VLOOKUP(Q116,'CO F3'!$C$2:$M$108,7,FALSE)</f>
        <v>#N/A</v>
      </c>
      <c r="I116" s="17" t="s">
        <v>697</v>
      </c>
      <c r="J116" s="18"/>
      <c r="K116" s="18"/>
      <c r="L116" s="18" t="s">
        <v>13</v>
      </c>
      <c r="M116" s="18"/>
      <c r="N116" s="18"/>
      <c r="O116" s="18"/>
      <c r="P116" s="17" t="s">
        <v>189</v>
      </c>
      <c r="Q116" s="17" t="s">
        <v>863</v>
      </c>
      <c r="R116" s="40" t="s">
        <v>854</v>
      </c>
      <c r="S116" s="40" t="s">
        <v>203</v>
      </c>
      <c r="T116" s="40" t="s">
        <v>187</v>
      </c>
      <c r="U116" s="19" t="s">
        <v>182</v>
      </c>
      <c r="V116" s="13" t="s">
        <v>24</v>
      </c>
      <c r="W116" s="19">
        <v>1</v>
      </c>
      <c r="X116" s="19" t="s">
        <v>179</v>
      </c>
      <c r="Y116" s="19" t="s">
        <v>93</v>
      </c>
      <c r="Z116" s="19">
        <v>1.96</v>
      </c>
      <c r="AA116" s="19">
        <v>0.8</v>
      </c>
      <c r="AB116" s="37" t="s">
        <v>17</v>
      </c>
      <c r="AC116" s="19" t="s">
        <v>204</v>
      </c>
      <c r="AD116" s="19" t="s">
        <v>19</v>
      </c>
      <c r="AE116" s="19" t="s">
        <v>20</v>
      </c>
      <c r="AF116" s="19" t="s">
        <v>138</v>
      </c>
      <c r="AG116" s="11"/>
    </row>
    <row r="117" spans="1:33" s="12" customFormat="1" ht="21.95" hidden="1" customHeight="1">
      <c r="A117" s="16">
        <v>116</v>
      </c>
      <c r="B117" s="17">
        <v>12</v>
      </c>
      <c r="C117" s="17">
        <v>22969</v>
      </c>
      <c r="D117" s="17" t="s">
        <v>918</v>
      </c>
      <c r="E117" s="143"/>
      <c r="F117" s="21" t="s">
        <v>883</v>
      </c>
      <c r="G117" s="21" t="str">
        <f>VLOOKUP(P117,'CO F3'!$C$2:$M$108,7,FALSE)</f>
        <v>COSKUNOZ MA SRL ROMANIA</v>
      </c>
      <c r="H117" s="21" t="e">
        <f>VLOOKUP(Q117,'CO F3'!$C$2:$M$108,7,FALSE)</f>
        <v>#N/A</v>
      </c>
      <c r="I117" s="17" t="s">
        <v>697</v>
      </c>
      <c r="J117" s="18"/>
      <c r="K117" s="18"/>
      <c r="L117" s="18" t="s">
        <v>13</v>
      </c>
      <c r="M117" s="18"/>
      <c r="N117" s="18"/>
      <c r="O117" s="18"/>
      <c r="P117" s="17" t="s">
        <v>190</v>
      </c>
      <c r="Q117" s="17" t="s">
        <v>866</v>
      </c>
      <c r="R117" s="40" t="s">
        <v>847</v>
      </c>
      <c r="S117" s="40" t="s">
        <v>203</v>
      </c>
      <c r="T117" s="40" t="s">
        <v>187</v>
      </c>
      <c r="U117" s="19" t="s">
        <v>191</v>
      </c>
      <c r="V117" s="13" t="s">
        <v>24</v>
      </c>
      <c r="W117" s="19">
        <v>1</v>
      </c>
      <c r="X117" s="19" t="s">
        <v>179</v>
      </c>
      <c r="Y117" s="19" t="s">
        <v>180</v>
      </c>
      <c r="Z117" s="19">
        <v>1.96</v>
      </c>
      <c r="AA117" s="19">
        <v>0.54600000000000004</v>
      </c>
      <c r="AB117" s="38" t="s">
        <v>30</v>
      </c>
      <c r="AC117" s="19" t="s">
        <v>204</v>
      </c>
      <c r="AD117" s="19" t="s">
        <v>19</v>
      </c>
      <c r="AE117" s="19" t="s">
        <v>20</v>
      </c>
      <c r="AF117" s="19" t="s">
        <v>138</v>
      </c>
      <c r="AG117" s="11"/>
    </row>
    <row r="118" spans="1:33" s="12" customFormat="1" ht="21.95" hidden="1" customHeight="1">
      <c r="A118" s="16">
        <v>117</v>
      </c>
      <c r="B118" s="17">
        <v>12</v>
      </c>
      <c r="C118" s="17">
        <v>22969</v>
      </c>
      <c r="D118" s="17" t="s">
        <v>918</v>
      </c>
      <c r="E118" s="143"/>
      <c r="F118" s="21" t="s">
        <v>883</v>
      </c>
      <c r="G118" s="21" t="str">
        <f>VLOOKUP(P118,'CO F3'!$C$2:$M$108,7,FALSE)</f>
        <v>COSKUNOZ MA SRL ROMANIA</v>
      </c>
      <c r="H118" s="21" t="e">
        <f>VLOOKUP(Q118,'CO F3'!$C$2:$M$108,7,FALSE)</f>
        <v>#N/A</v>
      </c>
      <c r="I118" s="17" t="s">
        <v>697</v>
      </c>
      <c r="J118" s="18"/>
      <c r="K118" s="18"/>
      <c r="L118" s="18" t="s">
        <v>13</v>
      </c>
      <c r="M118" s="18"/>
      <c r="N118" s="18"/>
      <c r="O118" s="18"/>
      <c r="P118" s="17" t="s">
        <v>192</v>
      </c>
      <c r="Q118" s="17" t="s">
        <v>864</v>
      </c>
      <c r="R118" s="40" t="s">
        <v>856</v>
      </c>
      <c r="S118" s="40" t="s">
        <v>203</v>
      </c>
      <c r="T118" s="40" t="s">
        <v>187</v>
      </c>
      <c r="U118" s="19" t="s">
        <v>193</v>
      </c>
      <c r="V118" s="13" t="s">
        <v>24</v>
      </c>
      <c r="W118" s="19">
        <v>1</v>
      </c>
      <c r="X118" s="19" t="s">
        <v>199</v>
      </c>
      <c r="Y118" s="19" t="s">
        <v>194</v>
      </c>
      <c r="Z118" s="19">
        <v>1.5</v>
      </c>
      <c r="AA118" s="19">
        <v>9.0999999999999998E-2</v>
      </c>
      <c r="AB118" s="38" t="s">
        <v>30</v>
      </c>
      <c r="AC118" s="19" t="s">
        <v>204</v>
      </c>
      <c r="AD118" s="19" t="s">
        <v>19</v>
      </c>
      <c r="AE118" s="19" t="s">
        <v>20</v>
      </c>
      <c r="AF118" s="19" t="s">
        <v>138</v>
      </c>
      <c r="AG118" s="11"/>
    </row>
    <row r="119" spans="1:33" s="12" customFormat="1" ht="21.95" hidden="1" customHeight="1">
      <c r="A119" s="16">
        <v>118</v>
      </c>
      <c r="B119" s="17">
        <v>12</v>
      </c>
      <c r="C119" s="17">
        <v>22969</v>
      </c>
      <c r="D119" s="17" t="s">
        <v>918</v>
      </c>
      <c r="E119" s="143"/>
      <c r="F119" s="21" t="s">
        <v>893</v>
      </c>
      <c r="G119" s="21" t="str">
        <f>VLOOKUP(P119,'CO F3'!$C$2:$M$108,7,FALSE)</f>
        <v>COSKUNOZ TURKIYE</v>
      </c>
      <c r="H119" s="21" t="e">
        <f>VLOOKUP(Q119,'CO F3'!$C$2:$M$108,7,FALSE)</f>
        <v>#N/A</v>
      </c>
      <c r="I119" s="17" t="s">
        <v>697</v>
      </c>
      <c r="J119" s="18"/>
      <c r="K119" s="18"/>
      <c r="L119" s="18" t="s">
        <v>13</v>
      </c>
      <c r="M119" s="18"/>
      <c r="N119" s="18"/>
      <c r="O119" s="18"/>
      <c r="P119" s="17" t="s">
        <v>183</v>
      </c>
      <c r="Q119" s="17" t="s">
        <v>864</v>
      </c>
      <c r="R119" s="40" t="s">
        <v>847</v>
      </c>
      <c r="S119" s="40" t="s">
        <v>203</v>
      </c>
      <c r="T119" s="40" t="s">
        <v>187</v>
      </c>
      <c r="U119" s="19" t="s">
        <v>184</v>
      </c>
      <c r="V119" s="13" t="s">
        <v>24</v>
      </c>
      <c r="W119" s="19">
        <v>1</v>
      </c>
      <c r="X119" s="19" t="s">
        <v>185</v>
      </c>
      <c r="Y119" s="19" t="s">
        <v>61</v>
      </c>
      <c r="Z119" s="19" t="s">
        <v>186</v>
      </c>
      <c r="AA119" s="19">
        <v>0.247</v>
      </c>
      <c r="AB119" s="38" t="s">
        <v>30</v>
      </c>
      <c r="AC119" s="19" t="s">
        <v>204</v>
      </c>
      <c r="AD119" s="19" t="s">
        <v>19</v>
      </c>
      <c r="AE119" s="19" t="s">
        <v>20</v>
      </c>
      <c r="AF119" s="19" t="s">
        <v>138</v>
      </c>
      <c r="AG119" s="11"/>
    </row>
    <row r="120" spans="1:33" s="12" customFormat="1" ht="21.95" hidden="1" customHeight="1">
      <c r="A120" s="31">
        <v>119</v>
      </c>
      <c r="B120" s="32">
        <v>12</v>
      </c>
      <c r="C120" s="32">
        <v>22969</v>
      </c>
      <c r="D120" s="32" t="s">
        <v>918</v>
      </c>
      <c r="E120" s="145"/>
      <c r="F120" s="21" t="s">
        <v>918</v>
      </c>
      <c r="G120" s="21" t="e">
        <f>VLOOKUP(P120,'CO F3'!$C$2:$M$108,7,FALSE)</f>
        <v>#N/A</v>
      </c>
      <c r="H120" s="21" t="e">
        <f>VLOOKUP(Q120,'CO F3'!$C$2:$M$108,7,FALSE)</f>
        <v>#N/A</v>
      </c>
      <c r="I120" s="32" t="s">
        <v>697</v>
      </c>
      <c r="J120" s="33"/>
      <c r="K120" s="33" t="s">
        <v>13</v>
      </c>
      <c r="L120" s="33"/>
      <c r="M120" s="33"/>
      <c r="N120" s="33"/>
      <c r="O120" s="33"/>
      <c r="P120" s="32" t="s">
        <v>195</v>
      </c>
      <c r="Q120" s="32" t="s">
        <v>849</v>
      </c>
      <c r="R120" s="42" t="s">
        <v>849</v>
      </c>
      <c r="S120" s="42" t="s">
        <v>203</v>
      </c>
      <c r="T120" s="42" t="s">
        <v>202</v>
      </c>
      <c r="U120" s="34" t="s">
        <v>196</v>
      </c>
      <c r="V120" s="35" t="s">
        <v>41</v>
      </c>
      <c r="W120" s="34">
        <v>1</v>
      </c>
      <c r="X120" s="34"/>
      <c r="Y120" s="34"/>
      <c r="Z120" s="34"/>
      <c r="AA120" s="34">
        <v>0</v>
      </c>
      <c r="AB120" s="37" t="s">
        <v>17</v>
      </c>
      <c r="AC120" s="34" t="s">
        <v>204</v>
      </c>
      <c r="AD120" s="34" t="s">
        <v>19</v>
      </c>
      <c r="AE120" s="34" t="s">
        <v>20</v>
      </c>
      <c r="AF120" s="34" t="s">
        <v>138</v>
      </c>
      <c r="AG120" s="11"/>
    </row>
    <row r="121" spans="1:33" s="12" customFormat="1" ht="21.95" hidden="1" customHeight="1">
      <c r="A121" s="16">
        <v>120</v>
      </c>
      <c r="B121" s="17">
        <v>12</v>
      </c>
      <c r="C121" s="17">
        <v>22969</v>
      </c>
      <c r="D121" s="17" t="s">
        <v>918</v>
      </c>
      <c r="E121" s="143"/>
      <c r="F121" s="21" t="s">
        <v>918</v>
      </c>
      <c r="G121" s="21" t="e">
        <f>VLOOKUP(P121,'CO F3'!$C$2:$M$108,7,FALSE)</f>
        <v>#N/A</v>
      </c>
      <c r="H121" s="21" t="e">
        <f>VLOOKUP(Q121,'CO F3'!$C$2:$M$108,7,FALSE)</f>
        <v>#N/A</v>
      </c>
      <c r="I121" s="17" t="s">
        <v>697</v>
      </c>
      <c r="J121" s="18"/>
      <c r="K121" s="18"/>
      <c r="L121" s="18" t="s">
        <v>13</v>
      </c>
      <c r="M121" s="18"/>
      <c r="N121" s="18"/>
      <c r="O121" s="18"/>
      <c r="P121" s="17" t="s">
        <v>197</v>
      </c>
      <c r="Q121" s="17" t="s">
        <v>863</v>
      </c>
      <c r="R121" s="40" t="s">
        <v>848</v>
      </c>
      <c r="S121" s="40" t="s">
        <v>203</v>
      </c>
      <c r="T121" s="40" t="s">
        <v>195</v>
      </c>
      <c r="U121" s="19" t="s">
        <v>198</v>
      </c>
      <c r="V121" s="13" t="s">
        <v>24</v>
      </c>
      <c r="W121" s="19">
        <v>1</v>
      </c>
      <c r="X121" s="19" t="s">
        <v>199</v>
      </c>
      <c r="Y121" s="19" t="s">
        <v>200</v>
      </c>
      <c r="Z121" s="19">
        <v>1.46</v>
      </c>
      <c r="AA121" s="19">
        <v>0.27</v>
      </c>
      <c r="AB121" s="37" t="s">
        <v>17</v>
      </c>
      <c r="AC121" s="19" t="s">
        <v>204</v>
      </c>
      <c r="AD121" s="19" t="s">
        <v>19</v>
      </c>
      <c r="AE121" s="19" t="s">
        <v>20</v>
      </c>
      <c r="AF121" s="19" t="s">
        <v>138</v>
      </c>
      <c r="AG121" s="11"/>
    </row>
    <row r="122" spans="1:33" s="12" customFormat="1" ht="21.95" hidden="1" customHeight="1">
      <c r="A122" s="24">
        <v>121</v>
      </c>
      <c r="B122" s="25">
        <v>12</v>
      </c>
      <c r="C122" s="25">
        <v>22969</v>
      </c>
      <c r="D122" s="25" t="s">
        <v>918</v>
      </c>
      <c r="E122" s="144"/>
      <c r="F122" s="21" t="s">
        <v>917</v>
      </c>
      <c r="G122" s="21" t="e">
        <f>VLOOKUP(P122,'CO F3'!$C$2:$M$108,7,FALSE)</f>
        <v>#N/A</v>
      </c>
      <c r="H122" s="21" t="e">
        <f>VLOOKUP(Q122,'CO F3'!$C$2:$M$108,7,FALSE)</f>
        <v>#N/A</v>
      </c>
      <c r="I122" s="25" t="s">
        <v>697</v>
      </c>
      <c r="J122" s="26"/>
      <c r="K122" s="26"/>
      <c r="L122" s="26" t="s">
        <v>13</v>
      </c>
      <c r="M122" s="26"/>
      <c r="N122" s="26"/>
      <c r="O122" s="26"/>
      <c r="P122" s="25">
        <v>7703042122</v>
      </c>
      <c r="Q122" s="25" t="s">
        <v>864</v>
      </c>
      <c r="R122" s="41" t="s">
        <v>848</v>
      </c>
      <c r="S122" s="41" t="s">
        <v>203</v>
      </c>
      <c r="T122" s="41" t="s">
        <v>195</v>
      </c>
      <c r="U122" s="27" t="s">
        <v>201</v>
      </c>
      <c r="V122" s="15" t="s">
        <v>29</v>
      </c>
      <c r="W122" s="27">
        <v>1</v>
      </c>
      <c r="X122" s="27"/>
      <c r="Y122" s="27"/>
      <c r="Z122" s="27"/>
      <c r="AA122" s="27">
        <v>7.0000000000000001E-3</v>
      </c>
      <c r="AB122" s="38" t="s">
        <v>30</v>
      </c>
      <c r="AC122" s="27" t="s">
        <v>204</v>
      </c>
      <c r="AD122" s="27" t="s">
        <v>19</v>
      </c>
      <c r="AE122" s="27" t="s">
        <v>20</v>
      </c>
      <c r="AF122" s="27" t="s">
        <v>138</v>
      </c>
      <c r="AG122" s="11"/>
    </row>
    <row r="123" spans="1:33" s="12" customFormat="1" ht="21.95" hidden="1" customHeight="1">
      <c r="A123" s="20">
        <v>122</v>
      </c>
      <c r="B123" s="21">
        <v>12</v>
      </c>
      <c r="C123" s="21">
        <v>22969</v>
      </c>
      <c r="D123" s="21" t="s">
        <v>918</v>
      </c>
      <c r="E123" s="142"/>
      <c r="F123" s="21" t="s">
        <v>918</v>
      </c>
      <c r="G123" s="21" t="s">
        <v>918</v>
      </c>
      <c r="H123" s="21" t="s">
        <v>918</v>
      </c>
      <c r="I123" s="21" t="s">
        <v>697</v>
      </c>
      <c r="J123" s="22" t="s">
        <v>13</v>
      </c>
      <c r="K123" s="22"/>
      <c r="L123" s="22"/>
      <c r="M123" s="22"/>
      <c r="N123" s="22"/>
      <c r="O123" s="22"/>
      <c r="P123" s="21" t="s">
        <v>206</v>
      </c>
      <c r="Q123" s="21" t="s">
        <v>861</v>
      </c>
      <c r="R123" s="39" t="s">
        <v>848</v>
      </c>
      <c r="S123" s="39" t="s">
        <v>207</v>
      </c>
      <c r="T123" s="39"/>
      <c r="U123" s="23" t="s">
        <v>207</v>
      </c>
      <c r="V123" s="14" t="s">
        <v>16</v>
      </c>
      <c r="W123" s="23">
        <v>1</v>
      </c>
      <c r="X123" s="23"/>
      <c r="Y123" s="23"/>
      <c r="Z123" s="23"/>
      <c r="AA123" s="23">
        <v>8.2589999999999986</v>
      </c>
      <c r="AB123" s="37" t="s">
        <v>17</v>
      </c>
      <c r="AC123" s="23" t="s">
        <v>137</v>
      </c>
      <c r="AD123" s="23" t="s">
        <v>34</v>
      </c>
      <c r="AE123" s="23" t="s">
        <v>20</v>
      </c>
      <c r="AF123" s="23" t="s">
        <v>138</v>
      </c>
      <c r="AG123" s="11"/>
    </row>
    <row r="124" spans="1:33" s="12" customFormat="1" ht="21.95" hidden="1" customHeight="1">
      <c r="A124" s="16">
        <v>123</v>
      </c>
      <c r="B124" s="17">
        <v>12</v>
      </c>
      <c r="C124" s="17">
        <v>22969</v>
      </c>
      <c r="D124" s="17" t="s">
        <v>918</v>
      </c>
      <c r="E124" s="143"/>
      <c r="F124" s="21" t="s">
        <v>884</v>
      </c>
      <c r="G124" s="21" t="str">
        <f>VLOOKUP(P124,'CO F3'!$C$2:$M$108,7,FALSE)</f>
        <v>COSKUNOZ MA SRL ROMANIA</v>
      </c>
      <c r="H124" s="21" t="e">
        <f>VLOOKUP(Q124,'CO F3'!$C$2:$M$108,7,FALSE)</f>
        <v>#N/A</v>
      </c>
      <c r="I124" s="17" t="s">
        <v>697</v>
      </c>
      <c r="J124" s="18"/>
      <c r="K124" s="18" t="s">
        <v>13</v>
      </c>
      <c r="L124" s="18"/>
      <c r="M124" s="18"/>
      <c r="N124" s="18"/>
      <c r="O124" s="18"/>
      <c r="P124" s="17" t="s">
        <v>208</v>
      </c>
      <c r="Q124" s="17" t="s">
        <v>863</v>
      </c>
      <c r="R124" s="40" t="s">
        <v>859</v>
      </c>
      <c r="S124" s="40" t="s">
        <v>207</v>
      </c>
      <c r="T124" s="40" t="s">
        <v>206</v>
      </c>
      <c r="U124" s="19" t="s">
        <v>209</v>
      </c>
      <c r="V124" s="13" t="s">
        <v>24</v>
      </c>
      <c r="W124" s="19">
        <v>1</v>
      </c>
      <c r="X124" s="19" t="s">
        <v>141</v>
      </c>
      <c r="Y124" s="19" t="s">
        <v>134</v>
      </c>
      <c r="Z124" s="19">
        <v>1.2</v>
      </c>
      <c r="AA124" s="19">
        <v>2.766</v>
      </c>
      <c r="AB124" s="38" t="s">
        <v>30</v>
      </c>
      <c r="AC124" s="19" t="s">
        <v>137</v>
      </c>
      <c r="AD124" s="19" t="s">
        <v>34</v>
      </c>
      <c r="AE124" s="19" t="s">
        <v>20</v>
      </c>
      <c r="AF124" s="19" t="s">
        <v>138</v>
      </c>
      <c r="AG124" s="11"/>
    </row>
    <row r="125" spans="1:33" s="12" customFormat="1" ht="21.95" hidden="1" customHeight="1">
      <c r="A125" s="31">
        <v>124</v>
      </c>
      <c r="B125" s="32">
        <v>12</v>
      </c>
      <c r="C125" s="32">
        <v>22969</v>
      </c>
      <c r="D125" s="32" t="s">
        <v>918</v>
      </c>
      <c r="E125" s="145"/>
      <c r="F125" s="21" t="s">
        <v>888</v>
      </c>
      <c r="G125" s="21" t="str">
        <f>VLOOKUP(P125,'CO F3'!$C$2:$M$108,7,FALSE)</f>
        <v>MUSA PITESTI ROMANIA</v>
      </c>
      <c r="H125" s="21" t="e">
        <f>VLOOKUP(Q125,'CO F3'!$C$2:$M$108,7,FALSE)</f>
        <v>#N/A</v>
      </c>
      <c r="I125" s="32" t="s">
        <v>697</v>
      </c>
      <c r="J125" s="33"/>
      <c r="K125" s="33" t="s">
        <v>13</v>
      </c>
      <c r="L125" s="33"/>
      <c r="M125" s="33"/>
      <c r="N125" s="33"/>
      <c r="O125" s="33"/>
      <c r="P125" s="32" t="s">
        <v>210</v>
      </c>
      <c r="Q125" s="32" t="s">
        <v>861</v>
      </c>
      <c r="R125" s="42" t="s">
        <v>847</v>
      </c>
      <c r="S125" s="42" t="s">
        <v>207</v>
      </c>
      <c r="T125" s="42" t="s">
        <v>206</v>
      </c>
      <c r="U125" s="34" t="s">
        <v>211</v>
      </c>
      <c r="V125" s="35" t="s">
        <v>41</v>
      </c>
      <c r="W125" s="34">
        <v>1</v>
      </c>
      <c r="X125" s="34"/>
      <c r="Y125" s="34"/>
      <c r="Z125" s="34"/>
      <c r="AA125" s="34">
        <v>0</v>
      </c>
      <c r="AB125" s="38" t="s">
        <v>30</v>
      </c>
      <c r="AC125" s="34" t="s">
        <v>137</v>
      </c>
      <c r="AD125" s="34" t="s">
        <v>34</v>
      </c>
      <c r="AE125" s="34" t="s">
        <v>20</v>
      </c>
      <c r="AF125" s="34" t="s">
        <v>138</v>
      </c>
      <c r="AG125" s="11"/>
    </row>
    <row r="126" spans="1:33" s="12" customFormat="1" ht="21.95" hidden="1" customHeight="1">
      <c r="A126" s="16">
        <v>125</v>
      </c>
      <c r="B126" s="17">
        <v>12</v>
      </c>
      <c r="C126" s="17">
        <v>22969</v>
      </c>
      <c r="D126" s="17" t="s">
        <v>918</v>
      </c>
      <c r="E126" s="143"/>
      <c r="F126" s="21" t="s">
        <v>888</v>
      </c>
      <c r="G126" s="21" t="e">
        <f>VLOOKUP(P126,'CO F3'!$C$2:$M$108,7,FALSE)</f>
        <v>#N/A</v>
      </c>
      <c r="H126" s="21" t="e">
        <f>VLOOKUP(Q126,'CO F3'!$C$2:$M$108,7,FALSE)</f>
        <v>#N/A</v>
      </c>
      <c r="I126" s="17" t="s">
        <v>697</v>
      </c>
      <c r="J126" s="18"/>
      <c r="K126" s="18"/>
      <c r="L126" s="18" t="s">
        <v>13</v>
      </c>
      <c r="M126" s="18"/>
      <c r="N126" s="18"/>
      <c r="O126" s="18"/>
      <c r="P126" s="17" t="s">
        <v>212</v>
      </c>
      <c r="Q126" s="17" t="s">
        <v>861</v>
      </c>
      <c r="R126" s="40" t="s">
        <v>852</v>
      </c>
      <c r="S126" s="40" t="s">
        <v>207</v>
      </c>
      <c r="T126" s="40" t="s">
        <v>210</v>
      </c>
      <c r="U126" s="19" t="s">
        <v>213</v>
      </c>
      <c r="V126" s="13" t="s">
        <v>24</v>
      </c>
      <c r="W126" s="19">
        <v>1</v>
      </c>
      <c r="X126" s="19" t="s">
        <v>25</v>
      </c>
      <c r="Y126" s="19" t="s">
        <v>134</v>
      </c>
      <c r="Z126" s="19">
        <v>2</v>
      </c>
      <c r="AA126" s="19">
        <v>0.16300000000000001</v>
      </c>
      <c r="AB126" s="38" t="s">
        <v>30</v>
      </c>
      <c r="AC126" s="19" t="s">
        <v>137</v>
      </c>
      <c r="AD126" s="19" t="s">
        <v>34</v>
      </c>
      <c r="AE126" s="19" t="s">
        <v>20</v>
      </c>
      <c r="AF126" s="19" t="s">
        <v>138</v>
      </c>
      <c r="AG126" s="11"/>
    </row>
    <row r="127" spans="1:33" s="12" customFormat="1" ht="21.95" hidden="1" customHeight="1">
      <c r="A127" s="24">
        <v>126</v>
      </c>
      <c r="B127" s="25">
        <v>12</v>
      </c>
      <c r="C127" s="25">
        <v>22969</v>
      </c>
      <c r="D127" s="25" t="s">
        <v>918</v>
      </c>
      <c r="E127" s="144"/>
      <c r="F127" s="21" t="s">
        <v>888</v>
      </c>
      <c r="G127" s="21" t="e">
        <f>VLOOKUP(P127,'CO F3'!$C$2:$M$108,7,FALSE)</f>
        <v>#N/A</v>
      </c>
      <c r="H127" s="21" t="e">
        <f>VLOOKUP(Q127,'CO F3'!$C$2:$M$108,7,FALSE)</f>
        <v>#N/A</v>
      </c>
      <c r="I127" s="25" t="s">
        <v>697</v>
      </c>
      <c r="J127" s="26"/>
      <c r="K127" s="26"/>
      <c r="L127" s="26" t="s">
        <v>13</v>
      </c>
      <c r="M127" s="26"/>
      <c r="N127" s="26"/>
      <c r="O127" s="26"/>
      <c r="P127" s="25">
        <v>7703042121</v>
      </c>
      <c r="Q127" s="25" t="s">
        <v>849</v>
      </c>
      <c r="R127" s="41" t="s">
        <v>849</v>
      </c>
      <c r="S127" s="41" t="s">
        <v>207</v>
      </c>
      <c r="T127" s="41" t="s">
        <v>210</v>
      </c>
      <c r="U127" s="27" t="s">
        <v>111</v>
      </c>
      <c r="V127" s="15" t="s">
        <v>29</v>
      </c>
      <c r="W127" s="27">
        <v>1</v>
      </c>
      <c r="X127" s="27"/>
      <c r="Y127" s="27"/>
      <c r="Z127" s="27"/>
      <c r="AA127" s="27">
        <v>1.7999999999999999E-2</v>
      </c>
      <c r="AB127" s="38" t="s">
        <v>30</v>
      </c>
      <c r="AC127" s="27" t="s">
        <v>137</v>
      </c>
      <c r="AD127" s="27" t="s">
        <v>34</v>
      </c>
      <c r="AE127" s="27" t="s">
        <v>20</v>
      </c>
      <c r="AF127" s="27" t="s">
        <v>138</v>
      </c>
      <c r="AG127" s="11"/>
    </row>
    <row r="128" spans="1:33" s="12" customFormat="1" ht="21.95" hidden="1" customHeight="1">
      <c r="A128" s="16">
        <v>127</v>
      </c>
      <c r="B128" s="17">
        <v>12</v>
      </c>
      <c r="C128" s="17">
        <v>22969</v>
      </c>
      <c r="D128" s="17" t="s">
        <v>918</v>
      </c>
      <c r="E128" s="143"/>
      <c r="F128" s="21" t="s">
        <v>918</v>
      </c>
      <c r="G128" s="21" t="e">
        <f>VLOOKUP(P128,'CO F3'!$C$2:$M$108,7,FALSE)</f>
        <v>#N/A</v>
      </c>
      <c r="H128" s="21" t="e">
        <f>VLOOKUP(Q128,'CO F3'!$C$2:$M$108,7,FALSE)</f>
        <v>#N/A</v>
      </c>
      <c r="I128" s="17" t="s">
        <v>697</v>
      </c>
      <c r="J128" s="18"/>
      <c r="K128" s="18" t="s">
        <v>13</v>
      </c>
      <c r="L128" s="18"/>
      <c r="M128" s="18"/>
      <c r="N128" s="18"/>
      <c r="O128" s="18"/>
      <c r="P128" s="17" t="s">
        <v>214</v>
      </c>
      <c r="Q128" s="17" t="s">
        <v>863</v>
      </c>
      <c r="R128" s="40" t="s">
        <v>847</v>
      </c>
      <c r="S128" s="40" t="s">
        <v>207</v>
      </c>
      <c r="T128" s="40" t="s">
        <v>206</v>
      </c>
      <c r="U128" s="19" t="s">
        <v>160</v>
      </c>
      <c r="V128" s="13" t="s">
        <v>24</v>
      </c>
      <c r="W128" s="19">
        <v>1</v>
      </c>
      <c r="X128" s="19" t="s">
        <v>462</v>
      </c>
      <c r="Y128" s="19" t="s">
        <v>93</v>
      </c>
      <c r="Z128" s="19">
        <v>1.18</v>
      </c>
      <c r="AA128" s="19">
        <v>0.44</v>
      </c>
      <c r="AB128" s="37" t="s">
        <v>17</v>
      </c>
      <c r="AC128" s="19" t="s">
        <v>137</v>
      </c>
      <c r="AD128" s="19" t="s">
        <v>34</v>
      </c>
      <c r="AE128" s="19" t="s">
        <v>20</v>
      </c>
      <c r="AF128" s="19" t="s">
        <v>138</v>
      </c>
      <c r="AG128" s="11"/>
    </row>
    <row r="129" spans="1:33" s="12" customFormat="1" ht="21.95" hidden="1" customHeight="1">
      <c r="A129" s="31">
        <v>128</v>
      </c>
      <c r="B129" s="32">
        <v>12</v>
      </c>
      <c r="C129" s="32">
        <v>22969</v>
      </c>
      <c r="D129" s="32" t="s">
        <v>918</v>
      </c>
      <c r="E129" s="145"/>
      <c r="F129" s="21" t="s">
        <v>918</v>
      </c>
      <c r="G129" s="21" t="e">
        <f>VLOOKUP(P129,'CO F3'!$C$2:$M$108,7,FALSE)</f>
        <v>#N/A</v>
      </c>
      <c r="H129" s="21" t="e">
        <f>VLOOKUP(Q129,'CO F3'!$C$2:$M$108,7,FALSE)</f>
        <v>#N/A</v>
      </c>
      <c r="I129" s="32" t="s">
        <v>697</v>
      </c>
      <c r="J129" s="33"/>
      <c r="K129" s="33" t="s">
        <v>13</v>
      </c>
      <c r="L129" s="33"/>
      <c r="M129" s="33"/>
      <c r="N129" s="33"/>
      <c r="O129" s="33"/>
      <c r="P129" s="32" t="s">
        <v>215</v>
      </c>
      <c r="Q129" s="32" t="s">
        <v>849</v>
      </c>
      <c r="R129" s="42" t="s">
        <v>849</v>
      </c>
      <c r="S129" s="42" t="s">
        <v>207</v>
      </c>
      <c r="T129" s="42" t="s">
        <v>206</v>
      </c>
      <c r="U129" s="34" t="s">
        <v>216</v>
      </c>
      <c r="V129" s="35" t="s">
        <v>41</v>
      </c>
      <c r="W129" s="34">
        <v>1</v>
      </c>
      <c r="X129" s="34"/>
      <c r="Y129" s="34"/>
      <c r="Z129" s="34"/>
      <c r="AA129" s="34">
        <v>0</v>
      </c>
      <c r="AB129" s="37" t="s">
        <v>17</v>
      </c>
      <c r="AC129" s="34" t="s">
        <v>137</v>
      </c>
      <c r="AD129" s="34" t="s">
        <v>34</v>
      </c>
      <c r="AE129" s="34" t="s">
        <v>20</v>
      </c>
      <c r="AF129" s="34" t="s">
        <v>138</v>
      </c>
      <c r="AG129" s="11"/>
    </row>
    <row r="130" spans="1:33" s="12" customFormat="1" ht="21.95" hidden="1" customHeight="1">
      <c r="A130" s="16">
        <v>129</v>
      </c>
      <c r="B130" s="17">
        <v>12</v>
      </c>
      <c r="C130" s="17">
        <v>22969</v>
      </c>
      <c r="D130" s="17" t="s">
        <v>918</v>
      </c>
      <c r="E130" s="143"/>
      <c r="F130" s="21" t="s">
        <v>918</v>
      </c>
      <c r="G130" s="21" t="e">
        <f>VLOOKUP(P130,'CO F3'!$C$2:$M$108,7,FALSE)</f>
        <v>#N/A</v>
      </c>
      <c r="H130" s="21" t="e">
        <f>VLOOKUP(Q130,'CO F3'!$C$2:$M$108,7,FALSE)</f>
        <v>#N/A</v>
      </c>
      <c r="I130" s="17" t="s">
        <v>697</v>
      </c>
      <c r="J130" s="18"/>
      <c r="K130" s="18"/>
      <c r="L130" s="18" t="s">
        <v>13</v>
      </c>
      <c r="M130" s="18"/>
      <c r="N130" s="18"/>
      <c r="O130" s="18"/>
      <c r="P130" s="17" t="s">
        <v>217</v>
      </c>
      <c r="Q130" s="17" t="s">
        <v>866</v>
      </c>
      <c r="R130" s="40" t="s">
        <v>847</v>
      </c>
      <c r="S130" s="40" t="s">
        <v>207</v>
      </c>
      <c r="T130" s="40" t="s">
        <v>215</v>
      </c>
      <c r="U130" s="19" t="s">
        <v>218</v>
      </c>
      <c r="V130" s="13" t="s">
        <v>24</v>
      </c>
      <c r="W130" s="19">
        <v>1</v>
      </c>
      <c r="X130" s="19" t="s">
        <v>548</v>
      </c>
      <c r="Y130" s="19" t="s">
        <v>93</v>
      </c>
      <c r="Z130" s="19">
        <v>1.17</v>
      </c>
      <c r="AA130" s="19">
        <v>1.88</v>
      </c>
      <c r="AB130" s="37" t="s">
        <v>17</v>
      </c>
      <c r="AC130" s="19" t="s">
        <v>137</v>
      </c>
      <c r="AD130" s="19" t="s">
        <v>34</v>
      </c>
      <c r="AE130" s="19" t="s">
        <v>20</v>
      </c>
      <c r="AF130" s="19" t="s">
        <v>138</v>
      </c>
      <c r="AG130" s="11"/>
    </row>
    <row r="131" spans="1:33" s="12" customFormat="1" ht="21.95" hidden="1" customHeight="1">
      <c r="A131" s="16">
        <v>130</v>
      </c>
      <c r="B131" s="17">
        <v>12</v>
      </c>
      <c r="C131" s="17">
        <v>22969</v>
      </c>
      <c r="D131" s="17" t="s">
        <v>918</v>
      </c>
      <c r="E131" s="143"/>
      <c r="F131" s="21" t="s">
        <v>881</v>
      </c>
      <c r="G131" s="21" t="str">
        <f>VLOOKUP(P131,'CO F3'!$C$2:$M$108,7,FALSE)</f>
        <v>GMD METAL TANGER</v>
      </c>
      <c r="H131" s="21" t="e">
        <f>VLOOKUP(Q131,'CO F3'!$C$2:$M$108,7,FALSE)</f>
        <v>#N/A</v>
      </c>
      <c r="I131" s="17" t="s">
        <v>697</v>
      </c>
      <c r="J131" s="18"/>
      <c r="K131" s="18"/>
      <c r="L131" s="18" t="s">
        <v>13</v>
      </c>
      <c r="M131" s="18"/>
      <c r="N131" s="18"/>
      <c r="O131" s="18"/>
      <c r="P131" s="17" t="s">
        <v>165</v>
      </c>
      <c r="Q131" s="17" t="s">
        <v>863</v>
      </c>
      <c r="R131" s="40" t="s">
        <v>847</v>
      </c>
      <c r="S131" s="40" t="s">
        <v>207</v>
      </c>
      <c r="T131" s="40" t="s">
        <v>215</v>
      </c>
      <c r="U131" s="19" t="s">
        <v>166</v>
      </c>
      <c r="V131" s="13" t="s">
        <v>24</v>
      </c>
      <c r="W131" s="19">
        <v>1</v>
      </c>
      <c r="X131" s="19" t="s">
        <v>141</v>
      </c>
      <c r="Y131" s="19" t="s">
        <v>134</v>
      </c>
      <c r="Z131" s="19">
        <v>1</v>
      </c>
      <c r="AA131" s="19">
        <v>5.8999999999999997E-2</v>
      </c>
      <c r="AB131" s="38" t="s">
        <v>30</v>
      </c>
      <c r="AC131" s="19" t="s">
        <v>137</v>
      </c>
      <c r="AD131" s="19" t="s">
        <v>34</v>
      </c>
      <c r="AE131" s="19" t="s">
        <v>20</v>
      </c>
      <c r="AF131" s="19" t="s">
        <v>138</v>
      </c>
      <c r="AG131" s="11"/>
    </row>
    <row r="132" spans="1:33" s="12" customFormat="1" ht="21.95" hidden="1" customHeight="1">
      <c r="A132" s="16">
        <v>131</v>
      </c>
      <c r="B132" s="17">
        <v>12</v>
      </c>
      <c r="C132" s="17">
        <v>22969</v>
      </c>
      <c r="D132" s="17" t="s">
        <v>918</v>
      </c>
      <c r="E132" s="143"/>
      <c r="F132" s="21" t="s">
        <v>881</v>
      </c>
      <c r="G132" s="21" t="str">
        <f>VLOOKUP(P132,'CO F3'!$C$2:$M$108,7,FALSE)</f>
        <v>GMD METAL TANGER</v>
      </c>
      <c r="H132" s="21" t="e">
        <f>VLOOKUP(Q132,'CO F3'!$C$2:$M$108,7,FALSE)</f>
        <v>#N/A</v>
      </c>
      <c r="I132" s="17" t="s">
        <v>697</v>
      </c>
      <c r="J132" s="18"/>
      <c r="K132" s="18"/>
      <c r="L132" s="18" t="s">
        <v>13</v>
      </c>
      <c r="M132" s="18"/>
      <c r="N132" s="18"/>
      <c r="O132" s="18"/>
      <c r="P132" s="17" t="s">
        <v>167</v>
      </c>
      <c r="Q132" s="17" t="s">
        <v>864</v>
      </c>
      <c r="R132" s="40" t="s">
        <v>847</v>
      </c>
      <c r="S132" s="40" t="s">
        <v>207</v>
      </c>
      <c r="T132" s="40" t="s">
        <v>215</v>
      </c>
      <c r="U132" s="19" t="s">
        <v>166</v>
      </c>
      <c r="V132" s="13" t="s">
        <v>24</v>
      </c>
      <c r="W132" s="19">
        <v>1</v>
      </c>
      <c r="X132" s="19" t="s">
        <v>141</v>
      </c>
      <c r="Y132" s="19" t="s">
        <v>134</v>
      </c>
      <c r="Z132" s="19">
        <v>1</v>
      </c>
      <c r="AA132" s="19">
        <v>0.04</v>
      </c>
      <c r="AB132" s="38" t="s">
        <v>30</v>
      </c>
      <c r="AC132" s="19" t="s">
        <v>137</v>
      </c>
      <c r="AD132" s="19" t="s">
        <v>34</v>
      </c>
      <c r="AE132" s="19" t="s">
        <v>20</v>
      </c>
      <c r="AF132" s="19" t="s">
        <v>138</v>
      </c>
      <c r="AG132" s="11"/>
    </row>
    <row r="133" spans="1:33" s="12" customFormat="1" ht="21.95" hidden="1" customHeight="1">
      <c r="A133" s="16">
        <v>132</v>
      </c>
      <c r="B133" s="17">
        <v>12</v>
      </c>
      <c r="C133" s="17">
        <v>22969</v>
      </c>
      <c r="D133" s="17" t="s">
        <v>918</v>
      </c>
      <c r="E133" s="143"/>
      <c r="F133" s="21" t="s">
        <v>881</v>
      </c>
      <c r="G133" s="21" t="str">
        <f>VLOOKUP(P133,'CO F3'!$C$2:$M$108,7,FALSE)</f>
        <v>GMD METAL TANGER</v>
      </c>
      <c r="H133" s="21" t="e">
        <f>VLOOKUP(Q133,'CO F3'!$C$2:$M$108,7,FALSE)</f>
        <v>#N/A</v>
      </c>
      <c r="I133" s="17" t="s">
        <v>697</v>
      </c>
      <c r="J133" s="18"/>
      <c r="K133" s="18"/>
      <c r="L133" s="18" t="s">
        <v>13</v>
      </c>
      <c r="M133" s="18"/>
      <c r="N133" s="18"/>
      <c r="O133" s="18"/>
      <c r="P133" s="17" t="s">
        <v>219</v>
      </c>
      <c r="Q133" s="17" t="s">
        <v>868</v>
      </c>
      <c r="R133" s="40" t="s">
        <v>853</v>
      </c>
      <c r="S133" s="40" t="s">
        <v>207</v>
      </c>
      <c r="T133" s="40" t="s">
        <v>215</v>
      </c>
      <c r="U133" s="19" t="s">
        <v>220</v>
      </c>
      <c r="V133" s="13" t="s">
        <v>24</v>
      </c>
      <c r="W133" s="19">
        <v>1</v>
      </c>
      <c r="X133" s="19" t="s">
        <v>170</v>
      </c>
      <c r="Y133" s="19" t="s">
        <v>171</v>
      </c>
      <c r="Z133" s="19">
        <v>1.5</v>
      </c>
      <c r="AA133" s="19">
        <v>0.14000000000000001</v>
      </c>
      <c r="AB133" s="38" t="s">
        <v>30</v>
      </c>
      <c r="AC133" s="19" t="s">
        <v>137</v>
      </c>
      <c r="AD133" s="19" t="s">
        <v>34</v>
      </c>
      <c r="AE133" s="19" t="s">
        <v>20</v>
      </c>
      <c r="AF133" s="19" t="s">
        <v>138</v>
      </c>
      <c r="AG133" s="11"/>
    </row>
    <row r="134" spans="1:33" s="12" customFormat="1" ht="21.95" hidden="1" customHeight="1">
      <c r="A134" s="16">
        <v>133</v>
      </c>
      <c r="B134" s="17">
        <v>12</v>
      </c>
      <c r="C134" s="17">
        <v>22969</v>
      </c>
      <c r="D134" s="17" t="s">
        <v>918</v>
      </c>
      <c r="E134" s="143"/>
      <c r="F134" s="21" t="s">
        <v>897</v>
      </c>
      <c r="G134" s="21" t="str">
        <f>VLOOKUP(P134,'CO F3'!$C$2:$M$108,7,FALSE)</f>
        <v>MUSA PITESTI ROMANIA</v>
      </c>
      <c r="H134" s="21" t="e">
        <f>VLOOKUP(Q134,'CO F3'!$C$2:$M$108,7,FALSE)</f>
        <v>#N/A</v>
      </c>
      <c r="I134" s="17" t="s">
        <v>697</v>
      </c>
      <c r="J134" s="18"/>
      <c r="K134" s="18"/>
      <c r="L134" s="18" t="s">
        <v>13</v>
      </c>
      <c r="M134" s="18"/>
      <c r="N134" s="18"/>
      <c r="O134" s="18"/>
      <c r="P134" s="17" t="s">
        <v>221</v>
      </c>
      <c r="Q134" s="17" t="s">
        <v>861</v>
      </c>
      <c r="R134" s="40" t="s">
        <v>853</v>
      </c>
      <c r="S134" s="40" t="s">
        <v>207</v>
      </c>
      <c r="T134" s="40" t="s">
        <v>215</v>
      </c>
      <c r="U134" s="19" t="s">
        <v>222</v>
      </c>
      <c r="V134" s="13" t="s">
        <v>24</v>
      </c>
      <c r="W134" s="19">
        <v>1</v>
      </c>
      <c r="X134" s="19" t="s">
        <v>141</v>
      </c>
      <c r="Y134" s="19" t="s">
        <v>134</v>
      </c>
      <c r="Z134" s="19">
        <v>2.5</v>
      </c>
      <c r="AA134" s="19">
        <v>0.21</v>
      </c>
      <c r="AB134" s="38" t="s">
        <v>30</v>
      </c>
      <c r="AC134" s="19" t="s">
        <v>137</v>
      </c>
      <c r="AD134" s="19" t="s">
        <v>34</v>
      </c>
      <c r="AE134" s="19" t="s">
        <v>20</v>
      </c>
      <c r="AF134" s="19" t="s">
        <v>138</v>
      </c>
      <c r="AG134" s="11"/>
    </row>
    <row r="135" spans="1:33" s="12" customFormat="1" ht="21.95" hidden="1" customHeight="1">
      <c r="A135" s="31">
        <v>134</v>
      </c>
      <c r="B135" s="32">
        <v>12</v>
      </c>
      <c r="C135" s="32">
        <v>22969</v>
      </c>
      <c r="D135" s="32" t="s">
        <v>918</v>
      </c>
      <c r="E135" s="145">
        <v>273760</v>
      </c>
      <c r="F135" s="133" t="s">
        <v>921</v>
      </c>
      <c r="G135" s="21" t="str">
        <f>VLOOKUP(P135,'CO F3'!$C$2:$M$108,7,FALSE)</f>
        <v>COSKUNOZ MA SRL ROMANIA</v>
      </c>
      <c r="H135" s="21" t="e">
        <f>VLOOKUP(Q135,'CO F3'!$C$2:$M$108,7,FALSE)</f>
        <v>#N/A</v>
      </c>
      <c r="I135" s="32" t="s">
        <v>697</v>
      </c>
      <c r="J135" s="33"/>
      <c r="K135" s="33" t="s">
        <v>13</v>
      </c>
      <c r="L135" s="33"/>
      <c r="M135" s="33"/>
      <c r="N135" s="33"/>
      <c r="O135" s="33"/>
      <c r="P135" s="32" t="s">
        <v>223</v>
      </c>
      <c r="Q135" s="32" t="s">
        <v>861</v>
      </c>
      <c r="R135" s="42" t="s">
        <v>851</v>
      </c>
      <c r="S135" s="42" t="s">
        <v>207</v>
      </c>
      <c r="T135" s="42" t="s">
        <v>206</v>
      </c>
      <c r="U135" s="34" t="s">
        <v>224</v>
      </c>
      <c r="V135" s="35" t="s">
        <v>41</v>
      </c>
      <c r="W135" s="34">
        <v>1</v>
      </c>
      <c r="X135" s="34"/>
      <c r="Y135" s="34"/>
      <c r="Z135" s="34"/>
      <c r="AA135" s="34">
        <v>0</v>
      </c>
      <c r="AB135" s="38" t="s">
        <v>30</v>
      </c>
      <c r="AC135" s="34" t="s">
        <v>137</v>
      </c>
      <c r="AD135" s="34" t="s">
        <v>34</v>
      </c>
      <c r="AE135" s="34" t="s">
        <v>20</v>
      </c>
      <c r="AF135" s="34" t="s">
        <v>138</v>
      </c>
      <c r="AG135" s="11"/>
    </row>
    <row r="136" spans="1:33" s="12" customFormat="1" ht="21.95" hidden="1" customHeight="1">
      <c r="A136" s="16">
        <v>135</v>
      </c>
      <c r="B136" s="17">
        <v>12</v>
      </c>
      <c r="C136" s="17">
        <v>22969</v>
      </c>
      <c r="D136" s="17" t="s">
        <v>918</v>
      </c>
      <c r="E136" s="143"/>
      <c r="F136" s="133" t="s">
        <v>917</v>
      </c>
      <c r="G136" s="21" t="e">
        <f>VLOOKUP(P136,'CO F3'!$C$2:$M$108,7,FALSE)</f>
        <v>#N/A</v>
      </c>
      <c r="H136" s="21" t="e">
        <f>VLOOKUP(Q136,'CO F3'!$C$2:$M$108,7,FALSE)</f>
        <v>#N/A</v>
      </c>
      <c r="I136" s="17" t="s">
        <v>697</v>
      </c>
      <c r="J136" s="18"/>
      <c r="K136" s="18"/>
      <c r="L136" s="18" t="s">
        <v>13</v>
      </c>
      <c r="M136" s="18"/>
      <c r="N136" s="18"/>
      <c r="O136" s="18"/>
      <c r="P136" s="17" t="s">
        <v>225</v>
      </c>
      <c r="Q136" s="17" t="s">
        <v>863</v>
      </c>
      <c r="R136" s="40" t="s">
        <v>847</v>
      </c>
      <c r="S136" s="40" t="s">
        <v>207</v>
      </c>
      <c r="T136" s="40" t="s">
        <v>223</v>
      </c>
      <c r="U136" s="19" t="s">
        <v>226</v>
      </c>
      <c r="V136" s="13" t="s">
        <v>24</v>
      </c>
      <c r="W136" s="19">
        <v>1</v>
      </c>
      <c r="X136" s="19" t="s">
        <v>179</v>
      </c>
      <c r="Y136" s="19" t="s">
        <v>180</v>
      </c>
      <c r="Z136" s="19">
        <v>1.96</v>
      </c>
      <c r="AA136" s="19">
        <v>0.36899999999999999</v>
      </c>
      <c r="AB136" s="38" t="s">
        <v>30</v>
      </c>
      <c r="AC136" s="19" t="s">
        <v>137</v>
      </c>
      <c r="AD136" s="19" t="s">
        <v>34</v>
      </c>
      <c r="AE136" s="19" t="s">
        <v>20</v>
      </c>
      <c r="AF136" s="19" t="s">
        <v>138</v>
      </c>
      <c r="AG136" s="11"/>
    </row>
    <row r="137" spans="1:33" s="12" customFormat="1" ht="21.95" hidden="1" customHeight="1">
      <c r="A137" s="16">
        <v>136</v>
      </c>
      <c r="B137" s="17">
        <v>12</v>
      </c>
      <c r="C137" s="17">
        <v>22969</v>
      </c>
      <c r="D137" s="17" t="s">
        <v>918</v>
      </c>
      <c r="E137" s="143"/>
      <c r="F137" s="133" t="s">
        <v>917</v>
      </c>
      <c r="G137" s="21" t="e">
        <f>VLOOKUP(P137,'CO F3'!$C$2:$M$108,7,FALSE)</f>
        <v>#N/A</v>
      </c>
      <c r="H137" s="21" t="e">
        <f>VLOOKUP(Q137,'CO F3'!$C$2:$M$108,7,FALSE)</f>
        <v>#N/A</v>
      </c>
      <c r="I137" s="17" t="s">
        <v>697</v>
      </c>
      <c r="J137" s="18"/>
      <c r="K137" s="18"/>
      <c r="L137" s="18" t="s">
        <v>13</v>
      </c>
      <c r="M137" s="18"/>
      <c r="N137" s="18"/>
      <c r="O137" s="18"/>
      <c r="P137" s="17" t="s">
        <v>227</v>
      </c>
      <c r="Q137" s="17" t="s">
        <v>864</v>
      </c>
      <c r="R137" s="40" t="s">
        <v>856</v>
      </c>
      <c r="S137" s="40" t="s">
        <v>207</v>
      </c>
      <c r="T137" s="40" t="s">
        <v>223</v>
      </c>
      <c r="U137" s="19" t="s">
        <v>228</v>
      </c>
      <c r="V137" s="13" t="s">
        <v>24</v>
      </c>
      <c r="W137" s="19">
        <v>1</v>
      </c>
      <c r="X137" s="19" t="s">
        <v>179</v>
      </c>
      <c r="Y137" s="19" t="s">
        <v>180</v>
      </c>
      <c r="Z137" s="19">
        <v>1.96</v>
      </c>
      <c r="AA137" s="19">
        <v>0.24099999999999999</v>
      </c>
      <c r="AB137" s="38" t="s">
        <v>30</v>
      </c>
      <c r="AC137" s="19" t="s">
        <v>137</v>
      </c>
      <c r="AD137" s="19" t="s">
        <v>34</v>
      </c>
      <c r="AE137" s="19" t="s">
        <v>20</v>
      </c>
      <c r="AF137" s="19" t="s">
        <v>138</v>
      </c>
      <c r="AG137" s="11"/>
    </row>
    <row r="138" spans="1:33" s="12" customFormat="1" ht="21.95" hidden="1" customHeight="1">
      <c r="A138" s="16">
        <v>137</v>
      </c>
      <c r="B138" s="17">
        <v>12</v>
      </c>
      <c r="C138" s="17">
        <v>22969</v>
      </c>
      <c r="D138" s="17" t="s">
        <v>918</v>
      </c>
      <c r="E138" s="143"/>
      <c r="F138" s="133" t="s">
        <v>893</v>
      </c>
      <c r="G138" s="21" t="str">
        <f>VLOOKUP(P138,'CO F3'!$C$2:$M$108,7,FALSE)</f>
        <v>COSKUNOZ TURKIYE</v>
      </c>
      <c r="H138" s="21" t="e">
        <f>VLOOKUP(Q138,'CO F3'!$C$2:$M$108,7,FALSE)</f>
        <v>#N/A</v>
      </c>
      <c r="I138" s="17" t="s">
        <v>697</v>
      </c>
      <c r="J138" s="18"/>
      <c r="K138" s="18"/>
      <c r="L138" s="18" t="s">
        <v>13</v>
      </c>
      <c r="M138" s="18"/>
      <c r="N138" s="18"/>
      <c r="O138" s="18"/>
      <c r="P138" s="17" t="s">
        <v>183</v>
      </c>
      <c r="Q138" s="17" t="s">
        <v>864</v>
      </c>
      <c r="R138" s="40" t="s">
        <v>847</v>
      </c>
      <c r="S138" s="40" t="s">
        <v>207</v>
      </c>
      <c r="T138" s="40" t="s">
        <v>223</v>
      </c>
      <c r="U138" s="19" t="s">
        <v>184</v>
      </c>
      <c r="V138" s="13" t="s">
        <v>24</v>
      </c>
      <c r="W138" s="19">
        <v>1</v>
      </c>
      <c r="X138" s="19" t="s">
        <v>185</v>
      </c>
      <c r="Y138" s="19" t="s">
        <v>61</v>
      </c>
      <c r="Z138" s="19" t="s">
        <v>186</v>
      </c>
      <c r="AA138" s="19">
        <v>0.247</v>
      </c>
      <c r="AB138" s="38" t="s">
        <v>30</v>
      </c>
      <c r="AC138" s="19" t="s">
        <v>137</v>
      </c>
      <c r="AD138" s="19" t="s">
        <v>34</v>
      </c>
      <c r="AE138" s="19" t="s">
        <v>20</v>
      </c>
      <c r="AF138" s="19" t="s">
        <v>138</v>
      </c>
      <c r="AG138" s="11"/>
    </row>
    <row r="139" spans="1:33" s="12" customFormat="1" ht="21.95" hidden="1" customHeight="1">
      <c r="A139" s="31">
        <v>138</v>
      </c>
      <c r="B139" s="32">
        <v>12</v>
      </c>
      <c r="C139" s="32">
        <v>22969</v>
      </c>
      <c r="D139" s="32" t="s">
        <v>918</v>
      </c>
      <c r="E139" s="145"/>
      <c r="F139" s="21" t="s">
        <v>918</v>
      </c>
      <c r="G139" s="21" t="e">
        <f>VLOOKUP(P139,'CO F3'!$C$2:$M$108,7,FALSE)</f>
        <v>#N/A</v>
      </c>
      <c r="H139" s="21" t="e">
        <f>VLOOKUP(Q139,'CO F3'!$C$2:$M$108,7,FALSE)</f>
        <v>#N/A</v>
      </c>
      <c r="I139" s="32" t="s">
        <v>697</v>
      </c>
      <c r="J139" s="33"/>
      <c r="K139" s="33" t="s">
        <v>13</v>
      </c>
      <c r="L139" s="33"/>
      <c r="M139" s="33"/>
      <c r="N139" s="33"/>
      <c r="O139" s="33"/>
      <c r="P139" s="32" t="s">
        <v>229</v>
      </c>
      <c r="Q139" s="32" t="s">
        <v>849</v>
      </c>
      <c r="R139" s="42" t="s">
        <v>849</v>
      </c>
      <c r="S139" s="42" t="s">
        <v>207</v>
      </c>
      <c r="T139" s="42" t="s">
        <v>206</v>
      </c>
      <c r="U139" s="34" t="s">
        <v>230</v>
      </c>
      <c r="V139" s="35" t="s">
        <v>41</v>
      </c>
      <c r="W139" s="34">
        <v>1</v>
      </c>
      <c r="X139" s="34"/>
      <c r="Y139" s="34"/>
      <c r="Z139" s="34"/>
      <c r="AA139" s="34">
        <v>0</v>
      </c>
      <c r="AB139" s="37" t="s">
        <v>17</v>
      </c>
      <c r="AC139" s="34" t="s">
        <v>137</v>
      </c>
      <c r="AD139" s="34" t="s">
        <v>34</v>
      </c>
      <c r="AE139" s="34" t="s">
        <v>20</v>
      </c>
      <c r="AF139" s="34" t="s">
        <v>138</v>
      </c>
      <c r="AG139" s="11"/>
    </row>
    <row r="140" spans="1:33" s="12" customFormat="1" ht="21.95" hidden="1" customHeight="1">
      <c r="A140" s="16">
        <v>139</v>
      </c>
      <c r="B140" s="17">
        <v>12</v>
      </c>
      <c r="C140" s="17">
        <v>22969</v>
      </c>
      <c r="D140" s="17" t="s">
        <v>918</v>
      </c>
      <c r="E140" s="143"/>
      <c r="F140" s="21" t="s">
        <v>918</v>
      </c>
      <c r="G140" s="21" t="e">
        <f>VLOOKUP(P140,'CO F3'!$C$2:$M$108,7,FALSE)</f>
        <v>#N/A</v>
      </c>
      <c r="H140" s="21" t="e">
        <f>VLOOKUP(Q140,'CO F3'!$C$2:$M$108,7,FALSE)</f>
        <v>#N/A</v>
      </c>
      <c r="I140" s="17" t="s">
        <v>697</v>
      </c>
      <c r="J140" s="18"/>
      <c r="K140" s="18"/>
      <c r="L140" s="18" t="s">
        <v>13</v>
      </c>
      <c r="M140" s="18"/>
      <c r="N140" s="18"/>
      <c r="O140" s="18"/>
      <c r="P140" s="17" t="s">
        <v>231</v>
      </c>
      <c r="Q140" s="17" t="s">
        <v>863</v>
      </c>
      <c r="R140" s="40" t="s">
        <v>856</v>
      </c>
      <c r="S140" s="40" t="s">
        <v>207</v>
      </c>
      <c r="T140" s="40" t="s">
        <v>229</v>
      </c>
      <c r="U140" s="19" t="s">
        <v>228</v>
      </c>
      <c r="V140" s="13" t="s">
        <v>24</v>
      </c>
      <c r="W140" s="19">
        <v>1</v>
      </c>
      <c r="X140" s="19" t="s">
        <v>179</v>
      </c>
      <c r="Y140" s="19" t="s">
        <v>93</v>
      </c>
      <c r="Z140" s="19">
        <v>2</v>
      </c>
      <c r="AA140" s="19">
        <v>0.8</v>
      </c>
      <c r="AB140" s="37" t="s">
        <v>17</v>
      </c>
      <c r="AC140" s="19" t="s">
        <v>137</v>
      </c>
      <c r="AD140" s="19" t="s">
        <v>34</v>
      </c>
      <c r="AE140" s="19" t="s">
        <v>20</v>
      </c>
      <c r="AF140" s="19" t="s">
        <v>138</v>
      </c>
      <c r="AG140" s="11"/>
    </row>
    <row r="141" spans="1:33" s="12" customFormat="1" ht="21.95" hidden="1" customHeight="1">
      <c r="A141" s="16">
        <v>140</v>
      </c>
      <c r="B141" s="17">
        <v>12</v>
      </c>
      <c r="C141" s="17">
        <v>22969</v>
      </c>
      <c r="D141" s="17" t="s">
        <v>918</v>
      </c>
      <c r="E141" s="143">
        <v>273760</v>
      </c>
      <c r="F141" s="21" t="s">
        <v>921</v>
      </c>
      <c r="G141" s="21" t="str">
        <f>VLOOKUP(P141,'CO F3'!$C$2:$M$108,7,FALSE)</f>
        <v>COSKUNOZ MA SRL ROMANIA</v>
      </c>
      <c r="H141" s="21" t="e">
        <f>VLOOKUP(Q141,'CO F3'!$C$2:$M$108,7,FALSE)</f>
        <v>#N/A</v>
      </c>
      <c r="I141" s="17" t="s">
        <v>697</v>
      </c>
      <c r="J141" s="18"/>
      <c r="K141" s="18"/>
      <c r="L141" s="18" t="s">
        <v>13</v>
      </c>
      <c r="M141" s="18"/>
      <c r="N141" s="18"/>
      <c r="O141" s="18"/>
      <c r="P141" s="17" t="s">
        <v>232</v>
      </c>
      <c r="Q141" s="17" t="s">
        <v>866</v>
      </c>
      <c r="R141" s="40" t="s">
        <v>847</v>
      </c>
      <c r="S141" s="40" t="s">
        <v>207</v>
      </c>
      <c r="T141" s="40" t="s">
        <v>229</v>
      </c>
      <c r="U141" s="19" t="s">
        <v>233</v>
      </c>
      <c r="V141" s="13" t="s">
        <v>24</v>
      </c>
      <c r="W141" s="19">
        <v>1</v>
      </c>
      <c r="X141" s="19" t="s">
        <v>179</v>
      </c>
      <c r="Y141" s="19" t="s">
        <v>180</v>
      </c>
      <c r="Z141" s="19">
        <v>1.96</v>
      </c>
      <c r="AA141" s="19">
        <v>0.54600000000000004</v>
      </c>
      <c r="AB141" s="38" t="s">
        <v>30</v>
      </c>
      <c r="AC141" s="19" t="s">
        <v>137</v>
      </c>
      <c r="AD141" s="19" t="s">
        <v>34</v>
      </c>
      <c r="AE141" s="19" t="s">
        <v>20</v>
      </c>
      <c r="AF141" s="19" t="s">
        <v>138</v>
      </c>
      <c r="AG141" s="11"/>
    </row>
    <row r="142" spans="1:33" s="12" customFormat="1" ht="21.95" hidden="1" customHeight="1">
      <c r="A142" s="16">
        <v>141</v>
      </c>
      <c r="B142" s="17">
        <v>12</v>
      </c>
      <c r="C142" s="17">
        <v>22969</v>
      </c>
      <c r="D142" s="17" t="s">
        <v>918</v>
      </c>
      <c r="E142" s="143">
        <v>273760</v>
      </c>
      <c r="F142" s="21" t="s">
        <v>921</v>
      </c>
      <c r="G142" s="21" t="str">
        <f>VLOOKUP(P142,'CO F3'!$C$2:$M$108,7,FALSE)</f>
        <v>COSKUNOZ MA SRL ROMANIA</v>
      </c>
      <c r="H142" s="21" t="e">
        <f>VLOOKUP(Q142,'CO F3'!$C$2:$M$108,7,FALSE)</f>
        <v>#N/A</v>
      </c>
      <c r="I142" s="17" t="s">
        <v>697</v>
      </c>
      <c r="J142" s="18"/>
      <c r="K142" s="18"/>
      <c r="L142" s="18" t="s">
        <v>13</v>
      </c>
      <c r="M142" s="18"/>
      <c r="N142" s="18"/>
      <c r="O142" s="18"/>
      <c r="P142" s="17" t="s">
        <v>234</v>
      </c>
      <c r="Q142" s="17" t="s">
        <v>864</v>
      </c>
      <c r="R142" s="40" t="s">
        <v>856</v>
      </c>
      <c r="S142" s="40" t="s">
        <v>207</v>
      </c>
      <c r="T142" s="40" t="s">
        <v>229</v>
      </c>
      <c r="U142" s="19" t="s">
        <v>235</v>
      </c>
      <c r="V142" s="13" t="s">
        <v>24</v>
      </c>
      <c r="W142" s="19">
        <v>1</v>
      </c>
      <c r="X142" s="19" t="s">
        <v>199</v>
      </c>
      <c r="Y142" s="19" t="s">
        <v>194</v>
      </c>
      <c r="Z142" s="19" t="s">
        <v>236</v>
      </c>
      <c r="AA142" s="19">
        <v>9.2999999999999999E-2</v>
      </c>
      <c r="AB142" s="38" t="s">
        <v>30</v>
      </c>
      <c r="AC142" s="19" t="s">
        <v>137</v>
      </c>
      <c r="AD142" s="19" t="s">
        <v>34</v>
      </c>
      <c r="AE142" s="19" t="s">
        <v>20</v>
      </c>
      <c r="AF142" s="19" t="s">
        <v>138</v>
      </c>
      <c r="AG142" s="11"/>
    </row>
    <row r="143" spans="1:33" s="12" customFormat="1" ht="21.95" hidden="1" customHeight="1">
      <c r="A143" s="16">
        <v>142</v>
      </c>
      <c r="B143" s="17">
        <v>12</v>
      </c>
      <c r="C143" s="17">
        <v>22969</v>
      </c>
      <c r="D143" s="17" t="s">
        <v>918</v>
      </c>
      <c r="E143" s="143"/>
      <c r="F143" s="21" t="s">
        <v>893</v>
      </c>
      <c r="G143" s="21" t="str">
        <f>VLOOKUP(P143,'CO F3'!$C$2:$M$108,7,FALSE)</f>
        <v>COSKUNOZ TURKIYE</v>
      </c>
      <c r="H143" s="21" t="e">
        <f>VLOOKUP(Q143,'CO F3'!$C$2:$M$108,7,FALSE)</f>
        <v>#N/A</v>
      </c>
      <c r="I143" s="17" t="s">
        <v>697</v>
      </c>
      <c r="J143" s="18"/>
      <c r="K143" s="18"/>
      <c r="L143" s="18" t="s">
        <v>13</v>
      </c>
      <c r="M143" s="18"/>
      <c r="N143" s="18"/>
      <c r="O143" s="18"/>
      <c r="P143" s="17" t="s">
        <v>183</v>
      </c>
      <c r="Q143" s="17" t="s">
        <v>864</v>
      </c>
      <c r="R143" s="40" t="s">
        <v>847</v>
      </c>
      <c r="S143" s="40" t="s">
        <v>207</v>
      </c>
      <c r="T143" s="40" t="s">
        <v>229</v>
      </c>
      <c r="U143" s="19" t="s">
        <v>184</v>
      </c>
      <c r="V143" s="13" t="s">
        <v>24</v>
      </c>
      <c r="W143" s="19">
        <v>1</v>
      </c>
      <c r="X143" s="19" t="s">
        <v>185</v>
      </c>
      <c r="Y143" s="19" t="s">
        <v>61</v>
      </c>
      <c r="Z143" s="19" t="s">
        <v>186</v>
      </c>
      <c r="AA143" s="19">
        <v>0.247</v>
      </c>
      <c r="AB143" s="38" t="s">
        <v>30</v>
      </c>
      <c r="AC143" s="19" t="s">
        <v>137</v>
      </c>
      <c r="AD143" s="19" t="s">
        <v>34</v>
      </c>
      <c r="AE143" s="19" t="s">
        <v>20</v>
      </c>
      <c r="AF143" s="19" t="s">
        <v>138</v>
      </c>
      <c r="AG143" s="11"/>
    </row>
    <row r="144" spans="1:33" s="12" customFormat="1" ht="21.95" hidden="1" customHeight="1">
      <c r="A144" s="31">
        <v>143</v>
      </c>
      <c r="B144" s="32">
        <v>12</v>
      </c>
      <c r="C144" s="32">
        <v>22969</v>
      </c>
      <c r="D144" s="32" t="s">
        <v>918</v>
      </c>
      <c r="E144" s="145"/>
      <c r="F144" s="21" t="s">
        <v>918</v>
      </c>
      <c r="G144" s="21" t="e">
        <f>VLOOKUP(P144,'CO F3'!$C$2:$M$108,7,FALSE)</f>
        <v>#N/A</v>
      </c>
      <c r="H144" s="21" t="e">
        <f>VLOOKUP(Q144,'CO F3'!$C$2:$M$108,7,FALSE)</f>
        <v>#N/A</v>
      </c>
      <c r="I144" s="32" t="s">
        <v>697</v>
      </c>
      <c r="J144" s="33"/>
      <c r="K144" s="33" t="s">
        <v>13</v>
      </c>
      <c r="L144" s="33"/>
      <c r="M144" s="33"/>
      <c r="N144" s="33"/>
      <c r="O144" s="33"/>
      <c r="P144" s="32" t="s">
        <v>195</v>
      </c>
      <c r="Q144" s="32" t="s">
        <v>849</v>
      </c>
      <c r="R144" s="42" t="s">
        <v>849</v>
      </c>
      <c r="S144" s="42" t="s">
        <v>207</v>
      </c>
      <c r="T144" s="42" t="s">
        <v>206</v>
      </c>
      <c r="U144" s="34" t="s">
        <v>196</v>
      </c>
      <c r="V144" s="35" t="s">
        <v>41</v>
      </c>
      <c r="W144" s="34">
        <v>1</v>
      </c>
      <c r="X144" s="34"/>
      <c r="Y144" s="34"/>
      <c r="Z144" s="34"/>
      <c r="AA144" s="34">
        <v>0</v>
      </c>
      <c r="AB144" s="37" t="s">
        <v>17</v>
      </c>
      <c r="AC144" s="34" t="s">
        <v>137</v>
      </c>
      <c r="AD144" s="34" t="s">
        <v>34</v>
      </c>
      <c r="AE144" s="34" t="s">
        <v>20</v>
      </c>
      <c r="AF144" s="34" t="s">
        <v>138</v>
      </c>
      <c r="AG144" s="11"/>
    </row>
    <row r="145" spans="1:33" s="12" customFormat="1" ht="21.95" hidden="1" customHeight="1">
      <c r="A145" s="16">
        <v>144</v>
      </c>
      <c r="B145" s="17">
        <v>12</v>
      </c>
      <c r="C145" s="17">
        <v>22969</v>
      </c>
      <c r="D145" s="17" t="s">
        <v>918</v>
      </c>
      <c r="E145" s="143"/>
      <c r="F145" s="21" t="s">
        <v>918</v>
      </c>
      <c r="G145" s="21" t="e">
        <f>VLOOKUP(P145,'CO F3'!$C$2:$M$108,7,FALSE)</f>
        <v>#N/A</v>
      </c>
      <c r="H145" s="21" t="e">
        <f>VLOOKUP(Q145,'CO F3'!$C$2:$M$108,7,FALSE)</f>
        <v>#N/A</v>
      </c>
      <c r="I145" s="17" t="s">
        <v>697</v>
      </c>
      <c r="J145" s="18"/>
      <c r="K145" s="18"/>
      <c r="L145" s="18" t="s">
        <v>13</v>
      </c>
      <c r="M145" s="18"/>
      <c r="N145" s="18"/>
      <c r="O145" s="18"/>
      <c r="P145" s="17" t="s">
        <v>197</v>
      </c>
      <c r="Q145" s="17" t="s">
        <v>862</v>
      </c>
      <c r="R145" s="40" t="s">
        <v>848</v>
      </c>
      <c r="S145" s="40" t="s">
        <v>207</v>
      </c>
      <c r="T145" s="40" t="s">
        <v>195</v>
      </c>
      <c r="U145" s="19" t="s">
        <v>198</v>
      </c>
      <c r="V145" s="13" t="s">
        <v>24</v>
      </c>
      <c r="W145" s="19">
        <v>1</v>
      </c>
      <c r="X145" s="19" t="s">
        <v>199</v>
      </c>
      <c r="Y145" s="19" t="s">
        <v>200</v>
      </c>
      <c r="Z145" s="19">
        <v>1.46</v>
      </c>
      <c r="AA145" s="19">
        <v>0.27</v>
      </c>
      <c r="AB145" s="37" t="s">
        <v>17</v>
      </c>
      <c r="AC145" s="19" t="s">
        <v>137</v>
      </c>
      <c r="AD145" s="19" t="s">
        <v>34</v>
      </c>
      <c r="AE145" s="19" t="s">
        <v>20</v>
      </c>
      <c r="AF145" s="19" t="s">
        <v>138</v>
      </c>
      <c r="AG145" s="11"/>
    </row>
    <row r="146" spans="1:33" s="12" customFormat="1" ht="21.95" hidden="1" customHeight="1">
      <c r="A146" s="24">
        <v>145</v>
      </c>
      <c r="B146" s="25">
        <v>12</v>
      </c>
      <c r="C146" s="25">
        <v>22969</v>
      </c>
      <c r="D146" s="25" t="s">
        <v>918</v>
      </c>
      <c r="E146" s="144"/>
      <c r="F146" s="21" t="s">
        <v>917</v>
      </c>
      <c r="G146" s="21" t="e">
        <f>VLOOKUP(P146,'CO F3'!$C$2:$M$108,7,FALSE)</f>
        <v>#N/A</v>
      </c>
      <c r="H146" s="21" t="e">
        <f>VLOOKUP(Q146,'CO F3'!$C$2:$M$108,7,FALSE)</f>
        <v>#N/A</v>
      </c>
      <c r="I146" s="25" t="s">
        <v>697</v>
      </c>
      <c r="J146" s="26"/>
      <c r="K146" s="26"/>
      <c r="L146" s="26" t="s">
        <v>13</v>
      </c>
      <c r="M146" s="26"/>
      <c r="N146" s="26"/>
      <c r="O146" s="26"/>
      <c r="P146" s="25">
        <v>7703042122</v>
      </c>
      <c r="Q146" s="25" t="s">
        <v>849</v>
      </c>
      <c r="R146" s="41" t="s">
        <v>849</v>
      </c>
      <c r="S146" s="41" t="s">
        <v>207</v>
      </c>
      <c r="T146" s="41" t="s">
        <v>195</v>
      </c>
      <c r="U146" s="27" t="s">
        <v>201</v>
      </c>
      <c r="V146" s="15" t="s">
        <v>29</v>
      </c>
      <c r="W146" s="27">
        <v>1</v>
      </c>
      <c r="X146" s="27"/>
      <c r="Y146" s="27"/>
      <c r="Z146" s="27"/>
      <c r="AA146" s="27">
        <v>7.0000000000000001E-3</v>
      </c>
      <c r="AB146" s="38" t="s">
        <v>30</v>
      </c>
      <c r="AC146" s="27" t="s">
        <v>137</v>
      </c>
      <c r="AD146" s="27" t="s">
        <v>34</v>
      </c>
      <c r="AE146" s="27" t="s">
        <v>20</v>
      </c>
      <c r="AF146" s="27" t="s">
        <v>138</v>
      </c>
      <c r="AG146" s="11"/>
    </row>
    <row r="147" spans="1:33" s="12" customFormat="1" ht="21.95" hidden="1" customHeight="1">
      <c r="A147" s="20">
        <v>146</v>
      </c>
      <c r="B147" s="21">
        <v>12</v>
      </c>
      <c r="C147" s="21">
        <v>26303</v>
      </c>
      <c r="D147" s="21" t="s">
        <v>918</v>
      </c>
      <c r="E147" s="142"/>
      <c r="F147" s="21" t="s">
        <v>918</v>
      </c>
      <c r="G147" s="21" t="s">
        <v>918</v>
      </c>
      <c r="H147" s="21" t="s">
        <v>918</v>
      </c>
      <c r="I147" s="21" t="s">
        <v>697</v>
      </c>
      <c r="J147" s="22" t="s">
        <v>13</v>
      </c>
      <c r="K147" s="22"/>
      <c r="L147" s="22"/>
      <c r="M147" s="22"/>
      <c r="N147" s="22"/>
      <c r="O147" s="22"/>
      <c r="P147" s="21" t="s">
        <v>237</v>
      </c>
      <c r="Q147" s="77" t="s">
        <v>849</v>
      </c>
      <c r="R147" s="209" t="s">
        <v>849</v>
      </c>
      <c r="S147" s="39" t="s">
        <v>238</v>
      </c>
      <c r="T147" s="39"/>
      <c r="U147" s="23" t="s">
        <v>238</v>
      </c>
      <c r="V147" s="14" t="s">
        <v>16</v>
      </c>
      <c r="W147" s="23">
        <v>1</v>
      </c>
      <c r="X147" s="23"/>
      <c r="Y147" s="23"/>
      <c r="Z147" s="23"/>
      <c r="AA147" s="23">
        <v>10.641999999999999</v>
      </c>
      <c r="AB147" s="37" t="s">
        <v>17</v>
      </c>
      <c r="AC147" s="23" t="s">
        <v>239</v>
      </c>
      <c r="AD147" s="23" t="s">
        <v>34</v>
      </c>
      <c r="AE147" s="23" t="s">
        <v>20</v>
      </c>
      <c r="AF147" s="23" t="s">
        <v>21</v>
      </c>
      <c r="AG147" s="11"/>
    </row>
    <row r="148" spans="1:33" s="12" customFormat="1" ht="21.95" hidden="1" customHeight="1">
      <c r="A148" s="31">
        <v>147</v>
      </c>
      <c r="B148" s="32">
        <v>12</v>
      </c>
      <c r="C148" s="32">
        <v>26303</v>
      </c>
      <c r="D148" s="32" t="s">
        <v>918</v>
      </c>
      <c r="E148" s="145">
        <v>620596</v>
      </c>
      <c r="F148" s="21" t="s">
        <v>684</v>
      </c>
      <c r="G148" s="21" t="str">
        <f>VLOOKUP(P148,'CO F3'!$C$2:$M$108,7,FALSE)</f>
        <v>GESTAMP</v>
      </c>
      <c r="H148" s="21" t="e">
        <f>VLOOKUP(Q148,'CO F3'!$C$2:$M$108,7,FALSE)</f>
        <v>#N/A</v>
      </c>
      <c r="I148" s="32" t="s">
        <v>697</v>
      </c>
      <c r="J148" s="33"/>
      <c r="K148" s="33" t="s">
        <v>13</v>
      </c>
      <c r="L148" s="33"/>
      <c r="M148" s="33"/>
      <c r="N148" s="33"/>
      <c r="O148" s="33"/>
      <c r="P148" s="32" t="s">
        <v>240</v>
      </c>
      <c r="Q148" s="32" t="s">
        <v>849</v>
      </c>
      <c r="R148" s="42" t="s">
        <v>849</v>
      </c>
      <c r="S148" s="42" t="s">
        <v>238</v>
      </c>
      <c r="T148" s="42" t="s">
        <v>237</v>
      </c>
      <c r="U148" s="34" t="s">
        <v>241</v>
      </c>
      <c r="V148" s="35" t="s">
        <v>41</v>
      </c>
      <c r="W148" s="34">
        <v>1</v>
      </c>
      <c r="X148" s="34"/>
      <c r="Y148" s="34"/>
      <c r="Z148" s="34"/>
      <c r="AA148" s="34"/>
      <c r="AB148" s="38" t="s">
        <v>30</v>
      </c>
      <c r="AC148" s="34" t="s">
        <v>239</v>
      </c>
      <c r="AD148" s="34" t="s">
        <v>34</v>
      </c>
      <c r="AE148" s="34" t="s">
        <v>20</v>
      </c>
      <c r="AF148" s="34" t="s">
        <v>21</v>
      </c>
      <c r="AG148" s="11"/>
    </row>
    <row r="149" spans="1:33" s="12" customFormat="1" ht="21.95" hidden="1" customHeight="1">
      <c r="A149" s="16">
        <v>148</v>
      </c>
      <c r="B149" s="17">
        <v>12</v>
      </c>
      <c r="C149" s="17">
        <v>26303</v>
      </c>
      <c r="D149" s="17" t="s">
        <v>918</v>
      </c>
      <c r="E149" s="143">
        <v>620596</v>
      </c>
      <c r="F149" s="21" t="s">
        <v>684</v>
      </c>
      <c r="G149" s="21" t="e">
        <f>VLOOKUP(P149,'CO F3'!$C$2:$M$108,7,FALSE)</f>
        <v>#N/A</v>
      </c>
      <c r="H149" s="21" t="e">
        <f>VLOOKUP(Q149,'CO F3'!$C$2:$M$108,7,FALSE)</f>
        <v>#N/A</v>
      </c>
      <c r="I149" s="17" t="s">
        <v>697</v>
      </c>
      <c r="J149" s="18"/>
      <c r="K149" s="18"/>
      <c r="L149" s="18" t="s">
        <v>13</v>
      </c>
      <c r="M149" s="18"/>
      <c r="N149" s="18"/>
      <c r="O149" s="18"/>
      <c r="P149" s="17" t="s">
        <v>242</v>
      </c>
      <c r="Q149" s="17" t="s">
        <v>861</v>
      </c>
      <c r="R149" s="40" t="s">
        <v>847</v>
      </c>
      <c r="S149" s="40" t="s">
        <v>238</v>
      </c>
      <c r="T149" s="40" t="s">
        <v>240</v>
      </c>
      <c r="U149" s="19" t="s">
        <v>243</v>
      </c>
      <c r="V149" s="13" t="s">
        <v>24</v>
      </c>
      <c r="W149" s="19">
        <v>1</v>
      </c>
      <c r="X149" s="19" t="s">
        <v>835</v>
      </c>
      <c r="Y149" s="19" t="s">
        <v>38</v>
      </c>
      <c r="Z149" s="19">
        <v>1.5449999999999999</v>
      </c>
      <c r="AA149" s="19">
        <v>0.39100000000000001</v>
      </c>
      <c r="AB149" s="38" t="s">
        <v>30</v>
      </c>
      <c r="AC149" s="19" t="s">
        <v>239</v>
      </c>
      <c r="AD149" s="19" t="s">
        <v>34</v>
      </c>
      <c r="AE149" s="19" t="s">
        <v>20</v>
      </c>
      <c r="AF149" s="19" t="s">
        <v>21</v>
      </c>
      <c r="AG149" s="11"/>
    </row>
    <row r="150" spans="1:33" s="12" customFormat="1" ht="21.95" hidden="1" customHeight="1">
      <c r="A150" s="31">
        <v>149</v>
      </c>
      <c r="B150" s="32">
        <v>12</v>
      </c>
      <c r="C150" s="32">
        <v>26303</v>
      </c>
      <c r="D150" s="32" t="s">
        <v>918</v>
      </c>
      <c r="E150" s="145">
        <v>620596</v>
      </c>
      <c r="F150" s="21" t="s">
        <v>684</v>
      </c>
      <c r="G150" s="21" t="e">
        <f>VLOOKUP(P150,'CO F3'!$C$2:$M$108,7,FALSE)</f>
        <v>#N/A</v>
      </c>
      <c r="H150" s="21" t="e">
        <f>VLOOKUP(Q150,'CO F3'!$C$2:$M$108,7,FALSE)</f>
        <v>#N/A</v>
      </c>
      <c r="I150" s="32" t="s">
        <v>697</v>
      </c>
      <c r="J150" s="33"/>
      <c r="K150" s="33"/>
      <c r="L150" s="33" t="s">
        <v>13</v>
      </c>
      <c r="M150" s="33"/>
      <c r="N150" s="33"/>
      <c r="O150" s="33"/>
      <c r="P150" s="32" t="s">
        <v>244</v>
      </c>
      <c r="Q150" s="32" t="s">
        <v>849</v>
      </c>
      <c r="R150" s="42" t="s">
        <v>849</v>
      </c>
      <c r="S150" s="42" t="s">
        <v>238</v>
      </c>
      <c r="T150" s="42" t="s">
        <v>240</v>
      </c>
      <c r="U150" s="34" t="s">
        <v>241</v>
      </c>
      <c r="V150" s="35" t="s">
        <v>41</v>
      </c>
      <c r="W150" s="34">
        <v>1</v>
      </c>
      <c r="X150" s="34"/>
      <c r="Y150" s="34"/>
      <c r="Z150" s="34"/>
      <c r="AA150" s="34"/>
      <c r="AB150" s="38" t="s">
        <v>30</v>
      </c>
      <c r="AC150" s="34" t="s">
        <v>239</v>
      </c>
      <c r="AD150" s="34" t="s">
        <v>34</v>
      </c>
      <c r="AE150" s="34" t="s">
        <v>20</v>
      </c>
      <c r="AF150" s="34" t="s">
        <v>21</v>
      </c>
      <c r="AG150" s="11"/>
    </row>
    <row r="151" spans="1:33" s="12" customFormat="1" ht="21.95" hidden="1" customHeight="1">
      <c r="A151" s="31">
        <v>150</v>
      </c>
      <c r="B151" s="32">
        <v>12</v>
      </c>
      <c r="C151" s="32">
        <v>26303</v>
      </c>
      <c r="D151" s="32" t="s">
        <v>918</v>
      </c>
      <c r="E151" s="145">
        <v>620596</v>
      </c>
      <c r="F151" s="21" t="s">
        <v>684</v>
      </c>
      <c r="G151" s="21" t="e">
        <f>VLOOKUP(P151,'CO F3'!$C$2:$M$108,7,FALSE)</f>
        <v>#N/A</v>
      </c>
      <c r="H151" s="21" t="e">
        <f>VLOOKUP(Q151,'CO F3'!$C$2:$M$108,7,FALSE)</f>
        <v>#N/A</v>
      </c>
      <c r="I151" s="32" t="s">
        <v>697</v>
      </c>
      <c r="J151" s="33"/>
      <c r="K151" s="33"/>
      <c r="L151" s="33"/>
      <c r="M151" s="33" t="s">
        <v>13</v>
      </c>
      <c r="N151" s="33"/>
      <c r="O151" s="33"/>
      <c r="P151" s="32" t="s">
        <v>245</v>
      </c>
      <c r="Q151" s="32" t="s">
        <v>849</v>
      </c>
      <c r="R151" s="42" t="s">
        <v>849</v>
      </c>
      <c r="S151" s="42" t="s">
        <v>238</v>
      </c>
      <c r="T151" s="42" t="s">
        <v>240</v>
      </c>
      <c r="U151" s="34" t="s">
        <v>246</v>
      </c>
      <c r="V151" s="35" t="s">
        <v>41</v>
      </c>
      <c r="W151" s="34">
        <v>1</v>
      </c>
      <c r="X151" s="34"/>
      <c r="Y151" s="34"/>
      <c r="Z151" s="34"/>
      <c r="AA151" s="34"/>
      <c r="AB151" s="38" t="s">
        <v>30</v>
      </c>
      <c r="AC151" s="34" t="s">
        <v>239</v>
      </c>
      <c r="AD151" s="34" t="s">
        <v>34</v>
      </c>
      <c r="AE151" s="34" t="s">
        <v>20</v>
      </c>
      <c r="AF151" s="34" t="s">
        <v>21</v>
      </c>
      <c r="AG151" s="11"/>
    </row>
    <row r="152" spans="1:33" s="12" customFormat="1" ht="21.95" hidden="1" customHeight="1">
      <c r="A152" s="16">
        <v>151</v>
      </c>
      <c r="B152" s="17">
        <v>12</v>
      </c>
      <c r="C152" s="17">
        <v>26303</v>
      </c>
      <c r="D152" s="17" t="s">
        <v>918</v>
      </c>
      <c r="E152" s="143">
        <v>620596</v>
      </c>
      <c r="F152" s="21" t="s">
        <v>684</v>
      </c>
      <c r="G152" s="21" t="e">
        <f>VLOOKUP(P152,'CO F3'!$C$2:$M$108,7,FALSE)</f>
        <v>#N/A</v>
      </c>
      <c r="H152" s="21" t="e">
        <f>VLOOKUP(Q152,'CO F3'!$C$2:$M$108,7,FALSE)</f>
        <v>#N/A</v>
      </c>
      <c r="I152" s="17" t="s">
        <v>697</v>
      </c>
      <c r="J152" s="18"/>
      <c r="K152" s="18"/>
      <c r="L152" s="18"/>
      <c r="M152" s="18"/>
      <c r="N152" s="18" t="s">
        <v>13</v>
      </c>
      <c r="O152" s="18"/>
      <c r="P152" s="17" t="s">
        <v>247</v>
      </c>
      <c r="Q152" s="17" t="s">
        <v>864</v>
      </c>
      <c r="R152" s="40" t="s">
        <v>848</v>
      </c>
      <c r="S152" s="40" t="s">
        <v>238</v>
      </c>
      <c r="T152" s="40" t="s">
        <v>245</v>
      </c>
      <c r="U152" s="19" t="s">
        <v>248</v>
      </c>
      <c r="V152" s="13" t="s">
        <v>24</v>
      </c>
      <c r="W152" s="19">
        <v>1</v>
      </c>
      <c r="X152" s="19" t="s">
        <v>367</v>
      </c>
      <c r="Y152" s="19" t="s">
        <v>249</v>
      </c>
      <c r="Z152" s="19">
        <v>1.2</v>
      </c>
      <c r="AA152" s="19">
        <v>1.377</v>
      </c>
      <c r="AB152" s="38" t="s">
        <v>30</v>
      </c>
      <c r="AC152" s="19" t="s">
        <v>239</v>
      </c>
      <c r="AD152" s="19" t="s">
        <v>34</v>
      </c>
      <c r="AE152" s="19" t="s">
        <v>20</v>
      </c>
      <c r="AF152" s="19" t="s">
        <v>21</v>
      </c>
      <c r="AG152" s="11"/>
    </row>
    <row r="153" spans="1:33" s="12" customFormat="1" ht="21.95" hidden="1" customHeight="1">
      <c r="A153" s="24">
        <v>152</v>
      </c>
      <c r="B153" s="25">
        <v>12</v>
      </c>
      <c r="C153" s="25">
        <v>26303</v>
      </c>
      <c r="D153" s="25" t="s">
        <v>918</v>
      </c>
      <c r="E153" s="144">
        <v>620596</v>
      </c>
      <c r="F153" s="21" t="s">
        <v>684</v>
      </c>
      <c r="G153" s="21" t="e">
        <f>VLOOKUP(P153,'CO F3'!$C$2:$M$108,7,FALSE)</f>
        <v>#N/A</v>
      </c>
      <c r="H153" s="21" t="e">
        <f>VLOOKUP(Q153,'CO F3'!$C$2:$M$108,7,FALSE)</f>
        <v>#N/A</v>
      </c>
      <c r="I153" s="25" t="s">
        <v>697</v>
      </c>
      <c r="J153" s="26"/>
      <c r="K153" s="26"/>
      <c r="L153" s="26"/>
      <c r="M153" s="26"/>
      <c r="N153" s="26" t="s">
        <v>13</v>
      </c>
      <c r="O153" s="26"/>
      <c r="P153" s="25">
        <v>7703042086</v>
      </c>
      <c r="Q153" s="25" t="s">
        <v>849</v>
      </c>
      <c r="R153" s="41" t="s">
        <v>849</v>
      </c>
      <c r="S153" s="41" t="s">
        <v>238</v>
      </c>
      <c r="T153" s="41" t="s">
        <v>245</v>
      </c>
      <c r="U153" s="27" t="s">
        <v>75</v>
      </c>
      <c r="V153" s="15" t="s">
        <v>29</v>
      </c>
      <c r="W153" s="27">
        <v>2</v>
      </c>
      <c r="X153" s="27"/>
      <c r="Y153" s="27"/>
      <c r="Z153" s="27"/>
      <c r="AA153" s="27">
        <v>1.2E-2</v>
      </c>
      <c r="AB153" s="38" t="s">
        <v>30</v>
      </c>
      <c r="AC153" s="27" t="s">
        <v>239</v>
      </c>
      <c r="AD153" s="27" t="s">
        <v>34</v>
      </c>
      <c r="AE153" s="27" t="s">
        <v>20</v>
      </c>
      <c r="AF153" s="27" t="s">
        <v>21</v>
      </c>
      <c r="AG153" s="11"/>
    </row>
    <row r="154" spans="1:33" s="12" customFormat="1" ht="21.95" hidden="1" customHeight="1">
      <c r="A154" s="31">
        <v>153</v>
      </c>
      <c r="B154" s="32">
        <v>12</v>
      </c>
      <c r="C154" s="32">
        <v>26303</v>
      </c>
      <c r="D154" s="32" t="s">
        <v>918</v>
      </c>
      <c r="E154" s="145">
        <v>620596</v>
      </c>
      <c r="F154" s="21" t="s">
        <v>684</v>
      </c>
      <c r="G154" s="21" t="e">
        <f>VLOOKUP(P154,'CO F3'!$C$2:$M$108,7,FALSE)</f>
        <v>#N/A</v>
      </c>
      <c r="H154" s="21" t="e">
        <f>VLOOKUP(Q154,'CO F3'!$C$2:$M$108,7,FALSE)</f>
        <v>#N/A</v>
      </c>
      <c r="I154" s="32" t="s">
        <v>697</v>
      </c>
      <c r="J154" s="33"/>
      <c r="K154" s="33"/>
      <c r="L154" s="33"/>
      <c r="M154" s="33" t="s">
        <v>13</v>
      </c>
      <c r="N154" s="33"/>
      <c r="O154" s="33"/>
      <c r="P154" s="32" t="s">
        <v>250</v>
      </c>
      <c r="Q154" s="32" t="s">
        <v>849</v>
      </c>
      <c r="R154" s="42" t="s">
        <v>849</v>
      </c>
      <c r="S154" s="42" t="s">
        <v>238</v>
      </c>
      <c r="T154" s="42" t="s">
        <v>240</v>
      </c>
      <c r="U154" s="34" t="s">
        <v>251</v>
      </c>
      <c r="V154" s="35" t="s">
        <v>41</v>
      </c>
      <c r="W154" s="34">
        <v>1</v>
      </c>
      <c r="X154" s="34"/>
      <c r="Y154" s="34"/>
      <c r="Z154" s="34"/>
      <c r="AA154" s="34"/>
      <c r="AB154" s="38" t="s">
        <v>30</v>
      </c>
      <c r="AC154" s="34" t="s">
        <v>239</v>
      </c>
      <c r="AD154" s="34" t="s">
        <v>34</v>
      </c>
      <c r="AE154" s="34" t="s">
        <v>20</v>
      </c>
      <c r="AF154" s="34" t="s">
        <v>21</v>
      </c>
      <c r="AG154" s="11"/>
    </row>
    <row r="155" spans="1:33" s="12" customFormat="1" ht="21.95" hidden="1" customHeight="1">
      <c r="A155" s="16">
        <v>154</v>
      </c>
      <c r="B155" s="17">
        <v>12</v>
      </c>
      <c r="C155" s="17">
        <v>26303</v>
      </c>
      <c r="D155" s="17" t="s">
        <v>918</v>
      </c>
      <c r="E155" s="143">
        <v>620596</v>
      </c>
      <c r="F155" s="21" t="s">
        <v>684</v>
      </c>
      <c r="G155" s="21" t="e">
        <f>VLOOKUP(P155,'CO F3'!$C$2:$M$108,7,FALSE)</f>
        <v>#N/A</v>
      </c>
      <c r="H155" s="21" t="e">
        <f>VLOOKUP(Q155,'CO F3'!$C$2:$M$108,7,FALSE)</f>
        <v>#N/A</v>
      </c>
      <c r="I155" s="17" t="s">
        <v>697</v>
      </c>
      <c r="J155" s="18"/>
      <c r="K155" s="18"/>
      <c r="L155" s="18"/>
      <c r="M155" s="18"/>
      <c r="N155" s="18" t="s">
        <v>13</v>
      </c>
      <c r="O155" s="18"/>
      <c r="P155" s="17" t="s">
        <v>252</v>
      </c>
      <c r="Q155" s="17" t="s">
        <v>861</v>
      </c>
      <c r="R155" s="40" t="s">
        <v>852</v>
      </c>
      <c r="S155" s="40" t="s">
        <v>238</v>
      </c>
      <c r="T155" s="40" t="s">
        <v>250</v>
      </c>
      <c r="U155" s="19" t="s">
        <v>253</v>
      </c>
      <c r="V155" s="13" t="s">
        <v>24</v>
      </c>
      <c r="W155" s="19">
        <v>1</v>
      </c>
      <c r="X155" s="19" t="s">
        <v>836</v>
      </c>
      <c r="Y155" s="19" t="s">
        <v>249</v>
      </c>
      <c r="Z155" s="19">
        <v>1.2</v>
      </c>
      <c r="AA155" s="19">
        <v>0.371</v>
      </c>
      <c r="AB155" s="38" t="s">
        <v>30</v>
      </c>
      <c r="AC155" s="19" t="s">
        <v>239</v>
      </c>
      <c r="AD155" s="19" t="s">
        <v>34</v>
      </c>
      <c r="AE155" s="19" t="s">
        <v>20</v>
      </c>
      <c r="AF155" s="19" t="s">
        <v>21</v>
      </c>
      <c r="AG155" s="11"/>
    </row>
    <row r="156" spans="1:33" s="12" customFormat="1" ht="21.95" hidden="1" customHeight="1">
      <c r="A156" s="24">
        <v>155</v>
      </c>
      <c r="B156" s="25">
        <v>12</v>
      </c>
      <c r="C156" s="25">
        <v>26303</v>
      </c>
      <c r="D156" s="25" t="s">
        <v>918</v>
      </c>
      <c r="E156" s="144">
        <v>620596</v>
      </c>
      <c r="F156" s="21" t="s">
        <v>684</v>
      </c>
      <c r="G156" s="21" t="e">
        <f>VLOOKUP(P156,'CO F3'!$C$2:$M$108,7,FALSE)</f>
        <v>#N/A</v>
      </c>
      <c r="H156" s="21" t="e">
        <f>VLOOKUP(Q156,'CO F3'!$C$2:$M$108,7,FALSE)</f>
        <v>#N/A</v>
      </c>
      <c r="I156" s="25" t="s">
        <v>697</v>
      </c>
      <c r="J156" s="26"/>
      <c r="K156" s="26"/>
      <c r="L156" s="26"/>
      <c r="M156" s="26"/>
      <c r="N156" s="26" t="s">
        <v>13</v>
      </c>
      <c r="O156" s="26"/>
      <c r="P156" s="25">
        <v>7703042086</v>
      </c>
      <c r="Q156" s="25" t="s">
        <v>849</v>
      </c>
      <c r="R156" s="41" t="s">
        <v>849</v>
      </c>
      <c r="S156" s="41" t="s">
        <v>238</v>
      </c>
      <c r="T156" s="41" t="s">
        <v>250</v>
      </c>
      <c r="U156" s="27" t="s">
        <v>75</v>
      </c>
      <c r="V156" s="15" t="s">
        <v>29</v>
      </c>
      <c r="W156" s="27">
        <v>2</v>
      </c>
      <c r="X156" s="27"/>
      <c r="Y156" s="27"/>
      <c r="Z156" s="27"/>
      <c r="AA156" s="27">
        <v>1.2E-2</v>
      </c>
      <c r="AB156" s="38" t="s">
        <v>30</v>
      </c>
      <c r="AC156" s="27" t="s">
        <v>239</v>
      </c>
      <c r="AD156" s="27" t="s">
        <v>34</v>
      </c>
      <c r="AE156" s="27" t="s">
        <v>20</v>
      </c>
      <c r="AF156" s="27" t="s">
        <v>21</v>
      </c>
      <c r="AG156" s="11"/>
    </row>
    <row r="157" spans="1:33" s="12" customFormat="1" ht="21.95" hidden="1" customHeight="1">
      <c r="A157" s="16">
        <v>156</v>
      </c>
      <c r="B157" s="17">
        <v>12</v>
      </c>
      <c r="C157" s="17">
        <v>26303</v>
      </c>
      <c r="D157" s="17" t="s">
        <v>918</v>
      </c>
      <c r="E157" s="143">
        <v>620596</v>
      </c>
      <c r="F157" s="21" t="s">
        <v>684</v>
      </c>
      <c r="G157" s="21" t="e">
        <f>VLOOKUP(P157,'CO F3'!$C$2:$M$108,7,FALSE)</f>
        <v>#N/A</v>
      </c>
      <c r="H157" s="21" t="e">
        <f>VLOOKUP(Q157,'CO F3'!$C$2:$M$108,7,FALSE)</f>
        <v>#N/A</v>
      </c>
      <c r="I157" s="17" t="s">
        <v>697</v>
      </c>
      <c r="J157" s="18"/>
      <c r="K157" s="18"/>
      <c r="L157" s="18"/>
      <c r="M157" s="18" t="s">
        <v>13</v>
      </c>
      <c r="N157" s="18"/>
      <c r="O157" s="18"/>
      <c r="P157" s="17" t="s">
        <v>254</v>
      </c>
      <c r="Q157" s="17" t="s">
        <v>861</v>
      </c>
      <c r="R157" s="40" t="s">
        <v>848</v>
      </c>
      <c r="S157" s="40" t="s">
        <v>238</v>
      </c>
      <c r="T157" s="40" t="s">
        <v>240</v>
      </c>
      <c r="U157" s="19" t="s">
        <v>255</v>
      </c>
      <c r="V157" s="13" t="s">
        <v>24</v>
      </c>
      <c r="W157" s="19">
        <v>1</v>
      </c>
      <c r="X157" s="19" t="s">
        <v>25</v>
      </c>
      <c r="Y157" s="19" t="s">
        <v>256</v>
      </c>
      <c r="Z157" s="19">
        <v>2</v>
      </c>
      <c r="AA157" s="19">
        <v>5.3999999999999999E-2</v>
      </c>
      <c r="AB157" s="38" t="s">
        <v>30</v>
      </c>
      <c r="AC157" s="19" t="s">
        <v>239</v>
      </c>
      <c r="AD157" s="19" t="s">
        <v>34</v>
      </c>
      <c r="AE157" s="19" t="s">
        <v>20</v>
      </c>
      <c r="AF157" s="19" t="s">
        <v>21</v>
      </c>
      <c r="AG157" s="11"/>
    </row>
    <row r="158" spans="1:33" s="12" customFormat="1" ht="21.95" hidden="1" customHeight="1">
      <c r="A158" s="31">
        <v>157</v>
      </c>
      <c r="B158" s="32">
        <v>12</v>
      </c>
      <c r="C158" s="32">
        <v>26303</v>
      </c>
      <c r="D158" s="32" t="s">
        <v>918</v>
      </c>
      <c r="E158" s="145"/>
      <c r="F158" s="21" t="s">
        <v>918</v>
      </c>
      <c r="G158" s="21" t="e">
        <f>VLOOKUP(P158,'CO F3'!$C$2:$M$108,7,FALSE)</f>
        <v>#N/A</v>
      </c>
      <c r="H158" s="21" t="e">
        <f>VLOOKUP(Q158,'CO F3'!$C$2:$M$108,7,FALSE)</f>
        <v>#N/A</v>
      </c>
      <c r="I158" s="32" t="s">
        <v>697</v>
      </c>
      <c r="J158" s="33"/>
      <c r="K158" s="33" t="s">
        <v>13</v>
      </c>
      <c r="L158" s="33"/>
      <c r="M158" s="33"/>
      <c r="N158" s="33"/>
      <c r="O158" s="33"/>
      <c r="P158" s="32" t="s">
        <v>257</v>
      </c>
      <c r="Q158" s="32" t="s">
        <v>849</v>
      </c>
      <c r="R158" s="42" t="s">
        <v>849</v>
      </c>
      <c r="S158" s="42" t="s">
        <v>238</v>
      </c>
      <c r="T158" s="42" t="s">
        <v>237</v>
      </c>
      <c r="U158" s="34" t="s">
        <v>258</v>
      </c>
      <c r="V158" s="35" t="s">
        <v>41</v>
      </c>
      <c r="W158" s="34">
        <v>1</v>
      </c>
      <c r="X158" s="34"/>
      <c r="Y158" s="34"/>
      <c r="Z158" s="34"/>
      <c r="AA158" s="34"/>
      <c r="AB158" s="37" t="s">
        <v>17</v>
      </c>
      <c r="AC158" s="34" t="s">
        <v>239</v>
      </c>
      <c r="AD158" s="34" t="s">
        <v>34</v>
      </c>
      <c r="AE158" s="34" t="s">
        <v>20</v>
      </c>
      <c r="AF158" s="34" t="s">
        <v>21</v>
      </c>
      <c r="AG158" s="11"/>
    </row>
    <row r="159" spans="1:33" s="12" customFormat="1" ht="21.95" hidden="1" customHeight="1">
      <c r="A159" s="31">
        <v>158</v>
      </c>
      <c r="B159" s="32">
        <v>12</v>
      </c>
      <c r="C159" s="32">
        <v>26303</v>
      </c>
      <c r="D159" s="32" t="s">
        <v>918</v>
      </c>
      <c r="E159" s="145"/>
      <c r="F159" s="21" t="s">
        <v>880</v>
      </c>
      <c r="G159" s="21" t="str">
        <f>VLOOKUP(P159,'CO F3'!$C$2:$M$108,7,FALSE)</f>
        <v>GMD METAL TANGER</v>
      </c>
      <c r="H159" s="21" t="e">
        <f>VLOOKUP(Q159,'CO F3'!$C$2:$M$108,7,FALSE)</f>
        <v>#N/A</v>
      </c>
      <c r="I159" s="32" t="s">
        <v>697</v>
      </c>
      <c r="J159" s="33"/>
      <c r="K159" s="33"/>
      <c r="L159" s="33" t="s">
        <v>13</v>
      </c>
      <c r="M159" s="33"/>
      <c r="N159" s="33"/>
      <c r="O159" s="33"/>
      <c r="P159" s="32" t="s">
        <v>259</v>
      </c>
      <c r="Q159" s="32" t="s">
        <v>849</v>
      </c>
      <c r="R159" s="42" t="s">
        <v>849</v>
      </c>
      <c r="S159" s="42" t="s">
        <v>238</v>
      </c>
      <c r="T159" s="42" t="s">
        <v>257</v>
      </c>
      <c r="U159" s="34" t="s">
        <v>260</v>
      </c>
      <c r="V159" s="35" t="s">
        <v>41</v>
      </c>
      <c r="W159" s="34">
        <v>1</v>
      </c>
      <c r="X159" s="34"/>
      <c r="Y159" s="34"/>
      <c r="Z159" s="34"/>
      <c r="AA159" s="34"/>
      <c r="AB159" s="38" t="s">
        <v>30</v>
      </c>
      <c r="AC159" s="34" t="s">
        <v>239</v>
      </c>
      <c r="AD159" s="34" t="s">
        <v>34</v>
      </c>
      <c r="AE159" s="34" t="s">
        <v>20</v>
      </c>
      <c r="AF159" s="34" t="s">
        <v>21</v>
      </c>
      <c r="AG159" s="11"/>
    </row>
    <row r="160" spans="1:33" s="12" customFormat="1" ht="21.95" hidden="1" customHeight="1">
      <c r="A160" s="16">
        <v>159</v>
      </c>
      <c r="B160" s="17">
        <v>12</v>
      </c>
      <c r="C160" s="17">
        <v>26303</v>
      </c>
      <c r="D160" s="17" t="s">
        <v>918</v>
      </c>
      <c r="E160" s="143"/>
      <c r="F160" s="21" t="s">
        <v>880</v>
      </c>
      <c r="G160" s="21" t="e">
        <f>VLOOKUP(P160,'CO F3'!$C$2:$M$108,7,FALSE)</f>
        <v>#N/A</v>
      </c>
      <c r="H160" s="21" t="e">
        <f>VLOOKUP(Q160,'CO F3'!$C$2:$M$108,7,FALSE)</f>
        <v>#N/A</v>
      </c>
      <c r="I160" s="17" t="s">
        <v>697</v>
      </c>
      <c r="J160" s="18"/>
      <c r="K160" s="18"/>
      <c r="L160" s="18"/>
      <c r="M160" s="18" t="s">
        <v>13</v>
      </c>
      <c r="N160" s="18"/>
      <c r="O160" s="18"/>
      <c r="P160" s="17" t="s">
        <v>261</v>
      </c>
      <c r="Q160" s="17" t="s">
        <v>863</v>
      </c>
      <c r="R160" s="40" t="s">
        <v>847</v>
      </c>
      <c r="S160" s="40" t="s">
        <v>238</v>
      </c>
      <c r="T160" s="40" t="s">
        <v>259</v>
      </c>
      <c r="U160" s="19" t="s">
        <v>262</v>
      </c>
      <c r="V160" s="13" t="s">
        <v>24</v>
      </c>
      <c r="W160" s="19">
        <v>1</v>
      </c>
      <c r="X160" s="19" t="s">
        <v>25</v>
      </c>
      <c r="Y160" s="19" t="s">
        <v>256</v>
      </c>
      <c r="Z160" s="19">
        <v>2</v>
      </c>
      <c r="AA160" s="19">
        <v>0.79800000000000004</v>
      </c>
      <c r="AB160" s="38" t="s">
        <v>30</v>
      </c>
      <c r="AC160" s="19" t="s">
        <v>239</v>
      </c>
      <c r="AD160" s="19" t="s">
        <v>34</v>
      </c>
      <c r="AE160" s="19" t="s">
        <v>20</v>
      </c>
      <c r="AF160" s="19" t="s">
        <v>21</v>
      </c>
      <c r="AG160" s="11"/>
    </row>
    <row r="161" spans="1:33" s="12" customFormat="1" ht="21.95" hidden="1" customHeight="1">
      <c r="A161" s="31">
        <v>160</v>
      </c>
      <c r="B161" s="32">
        <v>12</v>
      </c>
      <c r="C161" s="32">
        <v>26303</v>
      </c>
      <c r="D161" s="32" t="s">
        <v>918</v>
      </c>
      <c r="E161" s="145"/>
      <c r="F161" s="21" t="s">
        <v>880</v>
      </c>
      <c r="G161" s="21" t="e">
        <f>VLOOKUP(P161,'CO F3'!$C$2:$M$108,7,FALSE)</f>
        <v>#N/A</v>
      </c>
      <c r="H161" s="21" t="e">
        <f>VLOOKUP(Q161,'CO F3'!$C$2:$M$108,7,FALSE)</f>
        <v>#N/A</v>
      </c>
      <c r="I161" s="32" t="s">
        <v>697</v>
      </c>
      <c r="J161" s="33"/>
      <c r="K161" s="33"/>
      <c r="L161" s="33"/>
      <c r="M161" s="33" t="s">
        <v>13</v>
      </c>
      <c r="N161" s="33"/>
      <c r="O161" s="33"/>
      <c r="P161" s="32" t="s">
        <v>263</v>
      </c>
      <c r="Q161" s="32" t="s">
        <v>849</v>
      </c>
      <c r="R161" s="42" t="s">
        <v>849</v>
      </c>
      <c r="S161" s="42" t="s">
        <v>238</v>
      </c>
      <c r="T161" s="42" t="s">
        <v>259</v>
      </c>
      <c r="U161" s="34" t="s">
        <v>264</v>
      </c>
      <c r="V161" s="35" t="s">
        <v>41</v>
      </c>
      <c r="W161" s="34">
        <v>1</v>
      </c>
      <c r="X161" s="34"/>
      <c r="Y161" s="34"/>
      <c r="Z161" s="34"/>
      <c r="AA161" s="34"/>
      <c r="AB161" s="38" t="s">
        <v>30</v>
      </c>
      <c r="AC161" s="34" t="s">
        <v>239</v>
      </c>
      <c r="AD161" s="34" t="s">
        <v>34</v>
      </c>
      <c r="AE161" s="34" t="s">
        <v>20</v>
      </c>
      <c r="AF161" s="34" t="s">
        <v>21</v>
      </c>
      <c r="AG161" s="11"/>
    </row>
    <row r="162" spans="1:33" s="12" customFormat="1" ht="21.95" hidden="1" customHeight="1">
      <c r="A162" s="16">
        <v>161</v>
      </c>
      <c r="B162" s="17">
        <v>12</v>
      </c>
      <c r="C162" s="17">
        <v>26303</v>
      </c>
      <c r="D162" s="17" t="s">
        <v>918</v>
      </c>
      <c r="E162" s="143"/>
      <c r="F162" s="21" t="s">
        <v>880</v>
      </c>
      <c r="G162" s="21" t="e">
        <f>VLOOKUP(P162,'CO F3'!$C$2:$M$108,7,FALSE)</f>
        <v>#N/A</v>
      </c>
      <c r="H162" s="21" t="e">
        <f>VLOOKUP(Q162,'CO F3'!$C$2:$M$108,7,FALSE)</f>
        <v>#N/A</v>
      </c>
      <c r="I162" s="17" t="s">
        <v>697</v>
      </c>
      <c r="J162" s="18"/>
      <c r="K162" s="18"/>
      <c r="L162" s="18"/>
      <c r="M162" s="18"/>
      <c r="N162" s="18" t="s">
        <v>13</v>
      </c>
      <c r="O162" s="18"/>
      <c r="P162" s="17" t="s">
        <v>265</v>
      </c>
      <c r="Q162" s="17" t="s">
        <v>863</v>
      </c>
      <c r="R162" s="40" t="s">
        <v>847</v>
      </c>
      <c r="S162" s="40" t="s">
        <v>238</v>
      </c>
      <c r="T162" s="40" t="s">
        <v>263</v>
      </c>
      <c r="U162" s="19" t="s">
        <v>266</v>
      </c>
      <c r="V162" s="13" t="s">
        <v>24</v>
      </c>
      <c r="W162" s="19">
        <v>1</v>
      </c>
      <c r="X162" s="19" t="s">
        <v>25</v>
      </c>
      <c r="Y162" s="19" t="s">
        <v>256</v>
      </c>
      <c r="Z162" s="19">
        <v>1.5</v>
      </c>
      <c r="AA162" s="19">
        <v>0.39700000000000002</v>
      </c>
      <c r="AB162" s="38" t="s">
        <v>30</v>
      </c>
      <c r="AC162" s="19" t="s">
        <v>239</v>
      </c>
      <c r="AD162" s="19" t="s">
        <v>34</v>
      </c>
      <c r="AE162" s="19" t="s">
        <v>20</v>
      </c>
      <c r="AF162" s="19" t="s">
        <v>21</v>
      </c>
      <c r="AG162" s="11"/>
    </row>
    <row r="163" spans="1:33" s="12" customFormat="1" ht="21.95" hidden="1" customHeight="1">
      <c r="A163" s="24">
        <v>162</v>
      </c>
      <c r="B163" s="25">
        <v>12</v>
      </c>
      <c r="C163" s="25">
        <v>26303</v>
      </c>
      <c r="D163" s="25" t="s">
        <v>918</v>
      </c>
      <c r="E163" s="144"/>
      <c r="F163" s="21" t="s">
        <v>880</v>
      </c>
      <c r="G163" s="21" t="e">
        <f>VLOOKUP(P163,'CO F3'!$C$2:$M$108,7,FALSE)</f>
        <v>#N/A</v>
      </c>
      <c r="H163" s="21" t="e">
        <f>VLOOKUP(Q163,'CO F3'!$C$2:$M$108,7,FALSE)</f>
        <v>#N/A</v>
      </c>
      <c r="I163" s="25" t="s">
        <v>697</v>
      </c>
      <c r="J163" s="26"/>
      <c r="K163" s="26"/>
      <c r="L163" s="26"/>
      <c r="M163" s="26"/>
      <c r="N163" s="26" t="s">
        <v>13</v>
      </c>
      <c r="O163" s="26"/>
      <c r="P163" s="25">
        <v>7703042110</v>
      </c>
      <c r="Q163" s="25" t="s">
        <v>849</v>
      </c>
      <c r="R163" s="41" t="s">
        <v>849</v>
      </c>
      <c r="S163" s="41" t="s">
        <v>238</v>
      </c>
      <c r="T163" s="41" t="s">
        <v>263</v>
      </c>
      <c r="U163" s="27" t="s">
        <v>267</v>
      </c>
      <c r="V163" s="15" t="s">
        <v>29</v>
      </c>
      <c r="W163" s="27">
        <v>3</v>
      </c>
      <c r="X163" s="27"/>
      <c r="Y163" s="27"/>
      <c r="Z163" s="27"/>
      <c r="AA163" s="27">
        <v>5.6999999999999995E-2</v>
      </c>
      <c r="AB163" s="38" t="s">
        <v>30</v>
      </c>
      <c r="AC163" s="27" t="s">
        <v>239</v>
      </c>
      <c r="AD163" s="27" t="s">
        <v>34</v>
      </c>
      <c r="AE163" s="27" t="s">
        <v>20</v>
      </c>
      <c r="AF163" s="27" t="s">
        <v>21</v>
      </c>
      <c r="AG163" s="11"/>
    </row>
    <row r="164" spans="1:33" s="12" customFormat="1" ht="21.95" hidden="1" customHeight="1">
      <c r="A164" s="31">
        <v>163</v>
      </c>
      <c r="B164" s="32">
        <v>12</v>
      </c>
      <c r="C164" s="32">
        <v>26303</v>
      </c>
      <c r="D164" s="32" t="s">
        <v>918</v>
      </c>
      <c r="E164" s="145"/>
      <c r="F164" s="21" t="s">
        <v>918</v>
      </c>
      <c r="G164" s="21" t="e">
        <f>VLOOKUP(P164,'CO F3'!$C$2:$M$108,7,FALSE)</f>
        <v>#N/A</v>
      </c>
      <c r="H164" s="21" t="e">
        <f>VLOOKUP(Q164,'CO F3'!$C$2:$M$108,7,FALSE)</f>
        <v>#N/A</v>
      </c>
      <c r="I164" s="32" t="s">
        <v>697</v>
      </c>
      <c r="J164" s="33"/>
      <c r="K164" s="33"/>
      <c r="L164" s="33" t="s">
        <v>13</v>
      </c>
      <c r="M164" s="33"/>
      <c r="N164" s="33"/>
      <c r="O164" s="33"/>
      <c r="P164" s="100" t="s">
        <v>268</v>
      </c>
      <c r="Q164" s="32" t="s">
        <v>849</v>
      </c>
      <c r="R164" s="42" t="s">
        <v>849</v>
      </c>
      <c r="S164" s="42" t="s">
        <v>238</v>
      </c>
      <c r="T164" s="42" t="s">
        <v>257</v>
      </c>
      <c r="U164" s="34" t="s">
        <v>269</v>
      </c>
      <c r="V164" s="35" t="s">
        <v>41</v>
      </c>
      <c r="W164" s="34">
        <v>1</v>
      </c>
      <c r="X164" s="34"/>
      <c r="Y164" s="34"/>
      <c r="Z164" s="34"/>
      <c r="AA164" s="34"/>
      <c r="AB164" s="37" t="s">
        <v>17</v>
      </c>
      <c r="AC164" s="34" t="s">
        <v>239</v>
      </c>
      <c r="AD164" s="34" t="s">
        <v>34</v>
      </c>
      <c r="AE164" s="34" t="s">
        <v>20</v>
      </c>
      <c r="AF164" s="34" t="s">
        <v>21</v>
      </c>
      <c r="AG164" s="11"/>
    </row>
    <row r="165" spans="1:33" s="12" customFormat="1" ht="21.95" hidden="1" customHeight="1">
      <c r="A165" s="16">
        <v>164</v>
      </c>
      <c r="B165" s="17">
        <v>12</v>
      </c>
      <c r="C165" s="17">
        <v>26303</v>
      </c>
      <c r="D165" s="17" t="s">
        <v>918</v>
      </c>
      <c r="E165" s="143"/>
      <c r="F165" s="21" t="s">
        <v>896</v>
      </c>
      <c r="G165" s="21" t="str">
        <f>VLOOKUP(P165,'CO F3'!$C$2:$M$108,7,FALSE)</f>
        <v>CURITIBA plant</v>
      </c>
      <c r="H165" s="21" t="e">
        <f>VLOOKUP(Q165,'CO F3'!$C$2:$M$108,7,FALSE)</f>
        <v>#N/A</v>
      </c>
      <c r="I165" s="17" t="s">
        <v>697</v>
      </c>
      <c r="J165" s="18"/>
      <c r="K165" s="18"/>
      <c r="L165" s="18"/>
      <c r="M165" s="18" t="s">
        <v>13</v>
      </c>
      <c r="N165" s="18"/>
      <c r="O165" s="18"/>
      <c r="P165" s="104" t="s">
        <v>270</v>
      </c>
      <c r="Q165" s="17" t="s">
        <v>864</v>
      </c>
      <c r="R165" s="40" t="s">
        <v>847</v>
      </c>
      <c r="S165" s="40" t="s">
        <v>238</v>
      </c>
      <c r="T165" s="40" t="s">
        <v>268</v>
      </c>
      <c r="U165" s="19" t="s">
        <v>271</v>
      </c>
      <c r="V165" s="13" t="s">
        <v>24</v>
      </c>
      <c r="W165" s="19">
        <v>1</v>
      </c>
      <c r="X165" s="19" t="s">
        <v>837</v>
      </c>
      <c r="Y165" s="19" t="s">
        <v>272</v>
      </c>
      <c r="Z165" s="19">
        <v>2</v>
      </c>
      <c r="AA165" s="19">
        <v>2.5499999999999998</v>
      </c>
      <c r="AB165" s="38" t="s">
        <v>30</v>
      </c>
      <c r="AC165" s="19" t="s">
        <v>239</v>
      </c>
      <c r="AD165" s="19" t="s">
        <v>34</v>
      </c>
      <c r="AE165" s="19" t="s">
        <v>20</v>
      </c>
      <c r="AF165" s="19" t="s">
        <v>21</v>
      </c>
      <c r="AG165" s="11"/>
    </row>
    <row r="166" spans="1:33" s="12" customFormat="1" ht="21.95" hidden="1" customHeight="1">
      <c r="A166" s="31">
        <v>165</v>
      </c>
      <c r="B166" s="32">
        <v>12</v>
      </c>
      <c r="C166" s="32">
        <v>26303</v>
      </c>
      <c r="D166" s="32" t="s">
        <v>918</v>
      </c>
      <c r="E166" s="145"/>
      <c r="F166" s="21" t="s">
        <v>878</v>
      </c>
      <c r="G166" s="21" t="str">
        <f>VLOOKUP(P166,'CO F3'!$C$2:$M$108,7,FALSE)</f>
        <v>POLISTAMPO INDUSTRIA METALUR Brasil</v>
      </c>
      <c r="H166" s="21" t="e">
        <f>VLOOKUP(Q166,'CO F3'!$C$2:$M$108,7,FALSE)</f>
        <v>#N/A</v>
      </c>
      <c r="I166" s="32" t="s">
        <v>697</v>
      </c>
      <c r="J166" s="33"/>
      <c r="K166" s="33"/>
      <c r="L166" s="33"/>
      <c r="M166" s="33" t="s">
        <v>13</v>
      </c>
      <c r="N166" s="33"/>
      <c r="O166" s="33"/>
      <c r="P166" s="32" t="s">
        <v>273</v>
      </c>
      <c r="Q166" s="32" t="s">
        <v>849</v>
      </c>
      <c r="R166" s="42" t="s">
        <v>849</v>
      </c>
      <c r="S166" s="42" t="s">
        <v>238</v>
      </c>
      <c r="T166" s="42" t="s">
        <v>268</v>
      </c>
      <c r="U166" s="34" t="s">
        <v>274</v>
      </c>
      <c r="V166" s="35" t="s">
        <v>41</v>
      </c>
      <c r="W166" s="34">
        <v>1</v>
      </c>
      <c r="X166" s="34"/>
      <c r="Y166" s="34"/>
      <c r="Z166" s="34"/>
      <c r="AA166" s="34"/>
      <c r="AB166" s="38" t="s">
        <v>30</v>
      </c>
      <c r="AC166" s="34" t="s">
        <v>239</v>
      </c>
      <c r="AD166" s="34" t="s">
        <v>34</v>
      </c>
      <c r="AE166" s="34" t="s">
        <v>20</v>
      </c>
      <c r="AF166" s="34" t="s">
        <v>21</v>
      </c>
      <c r="AG166" s="11"/>
    </row>
    <row r="167" spans="1:33" s="12" customFormat="1" ht="21.95" hidden="1" customHeight="1">
      <c r="A167" s="16">
        <v>166</v>
      </c>
      <c r="B167" s="17">
        <v>12</v>
      </c>
      <c r="C167" s="17">
        <v>26303</v>
      </c>
      <c r="D167" s="17" t="s">
        <v>918</v>
      </c>
      <c r="E167" s="143"/>
      <c r="F167" s="21" t="s">
        <v>878</v>
      </c>
      <c r="G167" s="21" t="e">
        <f>VLOOKUP(P167,'CO F3'!$C$2:$M$108,7,FALSE)</f>
        <v>#N/A</v>
      </c>
      <c r="H167" s="21" t="e">
        <f>VLOOKUP(Q167,'CO F3'!$C$2:$M$108,7,FALSE)</f>
        <v>#N/A</v>
      </c>
      <c r="I167" s="17" t="s">
        <v>697</v>
      </c>
      <c r="J167" s="18"/>
      <c r="K167" s="18"/>
      <c r="L167" s="18"/>
      <c r="M167" s="18"/>
      <c r="N167" s="18" t="s">
        <v>13</v>
      </c>
      <c r="O167" s="18"/>
      <c r="P167" s="125" t="s">
        <v>275</v>
      </c>
      <c r="Q167" s="17" t="s">
        <v>861</v>
      </c>
      <c r="R167" s="40" t="s">
        <v>848</v>
      </c>
      <c r="S167" s="40" t="s">
        <v>238</v>
      </c>
      <c r="T167" s="40" t="s">
        <v>273</v>
      </c>
      <c r="U167" s="19" t="s">
        <v>276</v>
      </c>
      <c r="V167" s="13" t="s">
        <v>24</v>
      </c>
      <c r="W167" s="19">
        <v>1</v>
      </c>
      <c r="X167" s="19" t="s">
        <v>141</v>
      </c>
      <c r="Y167" s="19" t="s">
        <v>277</v>
      </c>
      <c r="Z167" s="19">
        <v>1.2</v>
      </c>
      <c r="AA167" s="19">
        <v>0.56200000000000006</v>
      </c>
      <c r="AB167" s="38" t="s">
        <v>30</v>
      </c>
      <c r="AC167" s="19" t="s">
        <v>239</v>
      </c>
      <c r="AD167" s="19" t="s">
        <v>34</v>
      </c>
      <c r="AE167" s="19" t="s">
        <v>20</v>
      </c>
      <c r="AF167" s="19" t="s">
        <v>21</v>
      </c>
      <c r="AG167" s="11"/>
    </row>
    <row r="168" spans="1:33" s="12" customFormat="1" ht="21.95" hidden="1" customHeight="1">
      <c r="A168" s="31">
        <v>167</v>
      </c>
      <c r="B168" s="32">
        <v>12</v>
      </c>
      <c r="C168" s="32">
        <v>26303</v>
      </c>
      <c r="D168" s="32" t="s">
        <v>918</v>
      </c>
      <c r="E168" s="145"/>
      <c r="F168" s="21" t="s">
        <v>878</v>
      </c>
      <c r="G168" s="21" t="e">
        <f>VLOOKUP(P168,'CO F3'!$C$2:$M$108,7,FALSE)</f>
        <v>#N/A</v>
      </c>
      <c r="H168" s="21" t="e">
        <f>VLOOKUP(Q168,'CO F3'!$C$2:$M$108,7,FALSE)</f>
        <v>#N/A</v>
      </c>
      <c r="I168" s="32" t="s">
        <v>697</v>
      </c>
      <c r="J168" s="33"/>
      <c r="K168" s="33"/>
      <c r="L168" s="33"/>
      <c r="M168" s="33"/>
      <c r="N168" s="33" t="s">
        <v>13</v>
      </c>
      <c r="O168" s="33"/>
      <c r="P168" s="126" t="s">
        <v>278</v>
      </c>
      <c r="Q168" s="32" t="s">
        <v>849</v>
      </c>
      <c r="R168" s="42" t="s">
        <v>849</v>
      </c>
      <c r="S168" s="42" t="s">
        <v>238</v>
      </c>
      <c r="T168" s="42" t="s">
        <v>273</v>
      </c>
      <c r="U168" s="34" t="s">
        <v>279</v>
      </c>
      <c r="V168" s="35" t="s">
        <v>41</v>
      </c>
      <c r="W168" s="34">
        <v>1</v>
      </c>
      <c r="X168" s="34"/>
      <c r="Y168" s="34"/>
      <c r="Z168" s="34"/>
      <c r="AA168" s="34"/>
      <c r="AB168" s="38" t="s">
        <v>30</v>
      </c>
      <c r="AC168" s="34" t="s">
        <v>239</v>
      </c>
      <c r="AD168" s="34" t="s">
        <v>34</v>
      </c>
      <c r="AE168" s="34" t="s">
        <v>20</v>
      </c>
      <c r="AF168" s="34" t="s">
        <v>21</v>
      </c>
      <c r="AG168" s="11"/>
    </row>
    <row r="169" spans="1:33" s="12" customFormat="1" ht="21.95" hidden="1" customHeight="1">
      <c r="A169" s="16">
        <v>168</v>
      </c>
      <c r="B169" s="17">
        <v>12</v>
      </c>
      <c r="C169" s="17">
        <v>26303</v>
      </c>
      <c r="D169" s="17" t="s">
        <v>918</v>
      </c>
      <c r="E169" s="143"/>
      <c r="F169" s="21" t="s">
        <v>878</v>
      </c>
      <c r="G169" s="21" t="e">
        <f>VLOOKUP(P169,'CO F3'!$C$2:$M$108,7,FALSE)</f>
        <v>#N/A</v>
      </c>
      <c r="H169" s="21" t="e">
        <f>VLOOKUP(Q169,'CO F3'!$C$2:$M$108,7,FALSE)</f>
        <v>#N/A</v>
      </c>
      <c r="I169" s="17" t="s">
        <v>697</v>
      </c>
      <c r="J169" s="18"/>
      <c r="K169" s="18"/>
      <c r="L169" s="18"/>
      <c r="M169" s="18"/>
      <c r="N169" s="18"/>
      <c r="O169" s="18" t="s">
        <v>13</v>
      </c>
      <c r="P169" s="125" t="s">
        <v>280</v>
      </c>
      <c r="Q169" s="17" t="s">
        <v>861</v>
      </c>
      <c r="R169" s="40" t="s">
        <v>847</v>
      </c>
      <c r="S169" s="40" t="s">
        <v>238</v>
      </c>
      <c r="T169" s="40" t="s">
        <v>278</v>
      </c>
      <c r="U169" s="19" t="s">
        <v>281</v>
      </c>
      <c r="V169" s="13" t="s">
        <v>24</v>
      </c>
      <c r="W169" s="19">
        <v>1</v>
      </c>
      <c r="X169" s="19" t="s">
        <v>838</v>
      </c>
      <c r="Y169" s="19" t="s">
        <v>38</v>
      </c>
      <c r="Z169" s="19">
        <v>3</v>
      </c>
      <c r="AA169" s="19">
        <v>0.26200000000000001</v>
      </c>
      <c r="AB169" s="38" t="s">
        <v>30</v>
      </c>
      <c r="AC169" s="19" t="s">
        <v>239</v>
      </c>
      <c r="AD169" s="19" t="s">
        <v>34</v>
      </c>
      <c r="AE169" s="19" t="s">
        <v>20</v>
      </c>
      <c r="AF169" s="19" t="s">
        <v>21</v>
      </c>
      <c r="AG169" s="11"/>
    </row>
    <row r="170" spans="1:33" s="12" customFormat="1" ht="21.95" hidden="1" customHeight="1">
      <c r="A170" s="24">
        <v>169</v>
      </c>
      <c r="B170" s="25">
        <v>12</v>
      </c>
      <c r="C170" s="25">
        <v>26303</v>
      </c>
      <c r="D170" s="25" t="s">
        <v>918</v>
      </c>
      <c r="E170" s="144"/>
      <c r="F170" s="21" t="s">
        <v>878</v>
      </c>
      <c r="G170" s="21" t="e">
        <f>VLOOKUP(P170,'CO F3'!$C$2:$M$108,7,FALSE)</f>
        <v>#N/A</v>
      </c>
      <c r="H170" s="21" t="e">
        <f>VLOOKUP(Q170,'CO F3'!$C$2:$M$108,7,FALSE)</f>
        <v>#N/A</v>
      </c>
      <c r="I170" s="25" t="s">
        <v>697</v>
      </c>
      <c r="J170" s="26"/>
      <c r="K170" s="26"/>
      <c r="L170" s="26"/>
      <c r="M170" s="26"/>
      <c r="N170" s="26"/>
      <c r="O170" s="26" t="s">
        <v>13</v>
      </c>
      <c r="P170" s="103">
        <v>7703042070</v>
      </c>
      <c r="Q170" s="25" t="s">
        <v>849</v>
      </c>
      <c r="R170" s="41" t="s">
        <v>849</v>
      </c>
      <c r="S170" s="41" t="s">
        <v>238</v>
      </c>
      <c r="T170" s="41" t="s">
        <v>278</v>
      </c>
      <c r="U170" s="27" t="s">
        <v>282</v>
      </c>
      <c r="V170" s="15" t="s">
        <v>29</v>
      </c>
      <c r="W170" s="27">
        <v>1</v>
      </c>
      <c r="X170" s="27"/>
      <c r="Y170" s="27"/>
      <c r="Z170" s="27"/>
      <c r="AA170" s="27">
        <v>2.3E-2</v>
      </c>
      <c r="AB170" s="38" t="s">
        <v>30</v>
      </c>
      <c r="AC170" s="27" t="s">
        <v>239</v>
      </c>
      <c r="AD170" s="27" t="s">
        <v>34</v>
      </c>
      <c r="AE170" s="27" t="s">
        <v>20</v>
      </c>
      <c r="AF170" s="27" t="s">
        <v>21</v>
      </c>
      <c r="AG170" s="11"/>
    </row>
    <row r="171" spans="1:33" s="12" customFormat="1" ht="21.95" hidden="1" customHeight="1">
      <c r="A171" s="31">
        <v>170</v>
      </c>
      <c r="B171" s="32">
        <v>12</v>
      </c>
      <c r="C171" s="32">
        <v>26303</v>
      </c>
      <c r="D171" s="32" t="s">
        <v>918</v>
      </c>
      <c r="E171" s="145"/>
      <c r="F171" s="133" t="s">
        <v>895</v>
      </c>
      <c r="G171" s="21" t="str">
        <f>VLOOKUP(P171,'CO F3'!$C$2:$M$108,7,FALSE)</f>
        <v xml:space="preserve">GESTAMP </v>
      </c>
      <c r="H171" s="21" t="e">
        <f>VLOOKUP(Q171,'CO F3'!$C$2:$M$108,7,FALSE)</f>
        <v>#N/A</v>
      </c>
      <c r="I171" s="32" t="s">
        <v>697</v>
      </c>
      <c r="J171" s="33"/>
      <c r="K171" s="33"/>
      <c r="L171" s="33"/>
      <c r="M171" s="33" t="s">
        <v>13</v>
      </c>
      <c r="N171" s="33"/>
      <c r="O171" s="33"/>
      <c r="P171" s="32" t="s">
        <v>283</v>
      </c>
      <c r="Q171" s="32" t="s">
        <v>849</v>
      </c>
      <c r="R171" s="42" t="s">
        <v>849</v>
      </c>
      <c r="S171" s="42" t="s">
        <v>238</v>
      </c>
      <c r="T171" s="42" t="s">
        <v>268</v>
      </c>
      <c r="U171" s="34" t="s">
        <v>284</v>
      </c>
      <c r="V171" s="35" t="s">
        <v>41</v>
      </c>
      <c r="W171" s="34">
        <v>1</v>
      </c>
      <c r="X171" s="34"/>
      <c r="Y171" s="34"/>
      <c r="Z171" s="34"/>
      <c r="AA171" s="34"/>
      <c r="AB171" s="38" t="s">
        <v>30</v>
      </c>
      <c r="AC171" s="34" t="s">
        <v>239</v>
      </c>
      <c r="AD171" s="34" t="s">
        <v>34</v>
      </c>
      <c r="AE171" s="34" t="s">
        <v>20</v>
      </c>
      <c r="AF171" s="34" t="s">
        <v>21</v>
      </c>
      <c r="AG171" s="11"/>
    </row>
    <row r="172" spans="1:33" s="12" customFormat="1" ht="21.95" hidden="1" customHeight="1">
      <c r="A172" s="16">
        <v>171</v>
      </c>
      <c r="B172" s="17">
        <v>12</v>
      </c>
      <c r="C172" s="17">
        <v>26303</v>
      </c>
      <c r="D172" s="17" t="s">
        <v>918</v>
      </c>
      <c r="E172" s="143"/>
      <c r="F172" s="133" t="s">
        <v>917</v>
      </c>
      <c r="G172" s="21" t="e">
        <f>VLOOKUP(P172,'CO F3'!$C$2:$M$108,7,FALSE)</f>
        <v>#N/A</v>
      </c>
      <c r="H172" s="21" t="e">
        <f>VLOOKUP(Q172,'CO F3'!$C$2:$M$108,7,FALSE)</f>
        <v>#N/A</v>
      </c>
      <c r="I172" s="17" t="s">
        <v>697</v>
      </c>
      <c r="J172" s="18"/>
      <c r="K172" s="18"/>
      <c r="L172" s="18"/>
      <c r="M172" s="18"/>
      <c r="N172" s="18" t="s">
        <v>13</v>
      </c>
      <c r="O172" s="18"/>
      <c r="P172" s="17" t="s">
        <v>285</v>
      </c>
      <c r="Q172" s="17" t="s">
        <v>861</v>
      </c>
      <c r="R172" s="40" t="s">
        <v>848</v>
      </c>
      <c r="S172" s="40" t="s">
        <v>238</v>
      </c>
      <c r="T172" s="40" t="s">
        <v>283</v>
      </c>
      <c r="U172" s="19" t="s">
        <v>286</v>
      </c>
      <c r="V172" s="13" t="s">
        <v>24</v>
      </c>
      <c r="W172" s="19">
        <v>1</v>
      </c>
      <c r="X172" s="19" t="s">
        <v>141</v>
      </c>
      <c r="Y172" s="19" t="s">
        <v>134</v>
      </c>
      <c r="Z172" s="19">
        <v>1.6</v>
      </c>
      <c r="AA172" s="19">
        <v>0.28999999999999998</v>
      </c>
      <c r="AB172" s="38" t="s">
        <v>30</v>
      </c>
      <c r="AC172" s="19" t="s">
        <v>239</v>
      </c>
      <c r="AD172" s="19" t="s">
        <v>34</v>
      </c>
      <c r="AE172" s="19" t="s">
        <v>20</v>
      </c>
      <c r="AF172" s="19" t="s">
        <v>21</v>
      </c>
      <c r="AG172" s="11"/>
    </row>
    <row r="173" spans="1:33" s="12" customFormat="1" ht="21.95" hidden="1" customHeight="1">
      <c r="A173" s="16">
        <v>172</v>
      </c>
      <c r="B173" s="17">
        <v>12</v>
      </c>
      <c r="C173" s="17">
        <v>26303</v>
      </c>
      <c r="D173" s="17" t="s">
        <v>918</v>
      </c>
      <c r="E173" s="143"/>
      <c r="F173" s="133" t="s">
        <v>917</v>
      </c>
      <c r="G173" s="21" t="e">
        <f>VLOOKUP(P173,'CO F3'!$C$2:$M$108,7,FALSE)</f>
        <v>#N/A</v>
      </c>
      <c r="H173" s="21" t="e">
        <f>VLOOKUP(Q173,'CO F3'!$C$2:$M$108,7,FALSE)</f>
        <v>#N/A</v>
      </c>
      <c r="I173" s="17" t="s">
        <v>697</v>
      </c>
      <c r="J173" s="18"/>
      <c r="K173" s="18"/>
      <c r="L173" s="18"/>
      <c r="M173" s="18"/>
      <c r="N173" s="18" t="s">
        <v>13</v>
      </c>
      <c r="O173" s="18"/>
      <c r="P173" s="17" t="s">
        <v>287</v>
      </c>
      <c r="Q173" s="17" t="s">
        <v>861</v>
      </c>
      <c r="R173" s="40" t="s">
        <v>847</v>
      </c>
      <c r="S173" s="40" t="s">
        <v>238</v>
      </c>
      <c r="T173" s="40" t="s">
        <v>283</v>
      </c>
      <c r="U173" s="19" t="s">
        <v>243</v>
      </c>
      <c r="V173" s="13" t="s">
        <v>24</v>
      </c>
      <c r="W173" s="19">
        <v>1</v>
      </c>
      <c r="X173" s="19" t="s">
        <v>839</v>
      </c>
      <c r="Y173" s="19" t="s">
        <v>38</v>
      </c>
      <c r="Z173" s="19">
        <v>2</v>
      </c>
      <c r="AA173" s="19">
        <v>0.21199999999999999</v>
      </c>
      <c r="AB173" s="38" t="s">
        <v>30</v>
      </c>
      <c r="AC173" s="19" t="s">
        <v>239</v>
      </c>
      <c r="AD173" s="19" t="s">
        <v>34</v>
      </c>
      <c r="AE173" s="19" t="s">
        <v>20</v>
      </c>
      <c r="AF173" s="19" t="s">
        <v>21</v>
      </c>
      <c r="AG173" s="11"/>
    </row>
    <row r="174" spans="1:33" s="12" customFormat="1" ht="21.95" hidden="1" customHeight="1">
      <c r="A174" s="16">
        <v>173</v>
      </c>
      <c r="B174" s="17">
        <v>12</v>
      </c>
      <c r="C174" s="17">
        <v>26303</v>
      </c>
      <c r="D174" s="17" t="s">
        <v>918</v>
      </c>
      <c r="E174" s="143"/>
      <c r="F174" s="133" t="s">
        <v>917</v>
      </c>
      <c r="G174" s="21" t="e">
        <f>VLOOKUP(P174,'CO F3'!$C$2:$M$108,7,FALSE)</f>
        <v>#N/A</v>
      </c>
      <c r="H174" s="21" t="e">
        <f>VLOOKUP(Q174,'CO F3'!$C$2:$M$108,7,FALSE)</f>
        <v>#N/A</v>
      </c>
      <c r="I174" s="17" t="s">
        <v>697</v>
      </c>
      <c r="J174" s="18"/>
      <c r="K174" s="18"/>
      <c r="L174" s="18"/>
      <c r="M174" s="18"/>
      <c r="N174" s="18" t="s">
        <v>13</v>
      </c>
      <c r="O174" s="18"/>
      <c r="P174" s="17" t="s">
        <v>288</v>
      </c>
      <c r="Q174" s="17" t="s">
        <v>861</v>
      </c>
      <c r="R174" s="40" t="s">
        <v>847</v>
      </c>
      <c r="S174" s="40" t="s">
        <v>238</v>
      </c>
      <c r="T174" s="40" t="s">
        <v>283</v>
      </c>
      <c r="U174" s="19" t="s">
        <v>289</v>
      </c>
      <c r="V174" s="13" t="s">
        <v>24</v>
      </c>
      <c r="W174" s="19">
        <v>1</v>
      </c>
      <c r="X174" s="19" t="s">
        <v>840</v>
      </c>
      <c r="Y174" s="19" t="s">
        <v>290</v>
      </c>
      <c r="Z174" s="19">
        <v>1.5</v>
      </c>
      <c r="AA174" s="19">
        <v>0.375</v>
      </c>
      <c r="AB174" s="38" t="s">
        <v>30</v>
      </c>
      <c r="AC174" s="19" t="s">
        <v>239</v>
      </c>
      <c r="AD174" s="19" t="s">
        <v>34</v>
      </c>
      <c r="AE174" s="19" t="s">
        <v>20</v>
      </c>
      <c r="AF174" s="19" t="s">
        <v>21</v>
      </c>
      <c r="AG174" s="11"/>
    </row>
    <row r="175" spans="1:33" s="12" customFormat="1" ht="21.95" hidden="1" customHeight="1">
      <c r="A175" s="16">
        <v>174</v>
      </c>
      <c r="B175" s="17">
        <v>12</v>
      </c>
      <c r="C175" s="17">
        <v>26303</v>
      </c>
      <c r="D175" s="17" t="s">
        <v>918</v>
      </c>
      <c r="E175" s="143"/>
      <c r="F175" s="133" t="s">
        <v>917</v>
      </c>
      <c r="G175" s="21" t="e">
        <f>VLOOKUP(P175,'CO F3'!$C$2:$M$108,7,FALSE)</f>
        <v>#N/A</v>
      </c>
      <c r="H175" s="21" t="e">
        <f>VLOOKUP(Q175,'CO F3'!$C$2:$M$108,7,FALSE)</f>
        <v>#N/A</v>
      </c>
      <c r="I175" s="17" t="s">
        <v>697</v>
      </c>
      <c r="J175" s="18"/>
      <c r="K175" s="18"/>
      <c r="L175" s="18"/>
      <c r="M175" s="18"/>
      <c r="N175" s="18" t="s">
        <v>13</v>
      </c>
      <c r="O175" s="18"/>
      <c r="P175" s="17" t="s">
        <v>291</v>
      </c>
      <c r="Q175" s="17" t="s">
        <v>864</v>
      </c>
      <c r="R175" s="40" t="s">
        <v>847</v>
      </c>
      <c r="S175" s="40" t="s">
        <v>238</v>
      </c>
      <c r="T175" s="40" t="s">
        <v>283</v>
      </c>
      <c r="U175" s="19" t="s">
        <v>292</v>
      </c>
      <c r="V175" s="13" t="s">
        <v>24</v>
      </c>
      <c r="W175" s="19">
        <v>1</v>
      </c>
      <c r="X175" s="19" t="s">
        <v>367</v>
      </c>
      <c r="Y175" s="19" t="s">
        <v>290</v>
      </c>
      <c r="Z175" s="19">
        <v>1.3</v>
      </c>
      <c r="AA175" s="19">
        <v>1.8169999999999999</v>
      </c>
      <c r="AB175" s="38" t="s">
        <v>30</v>
      </c>
      <c r="AC175" s="19" t="s">
        <v>239</v>
      </c>
      <c r="AD175" s="19" t="s">
        <v>34</v>
      </c>
      <c r="AE175" s="19" t="s">
        <v>20</v>
      </c>
      <c r="AF175" s="19" t="s">
        <v>21</v>
      </c>
      <c r="AG175" s="11"/>
    </row>
    <row r="176" spans="1:33" s="12" customFormat="1" ht="21.95" hidden="1" customHeight="1">
      <c r="A176" s="24">
        <v>175</v>
      </c>
      <c r="B176" s="25">
        <v>12</v>
      </c>
      <c r="C176" s="25">
        <v>26303</v>
      </c>
      <c r="D176" s="25" t="s">
        <v>918</v>
      </c>
      <c r="E176" s="144"/>
      <c r="F176" s="133" t="s">
        <v>917</v>
      </c>
      <c r="G176" s="21" t="e">
        <f>VLOOKUP(P176,'CO F3'!$C$2:$M$108,7,FALSE)</f>
        <v>#N/A</v>
      </c>
      <c r="H176" s="21" t="e">
        <f>VLOOKUP(Q176,'CO F3'!$C$2:$M$108,7,FALSE)</f>
        <v>#N/A</v>
      </c>
      <c r="I176" s="25" t="s">
        <v>697</v>
      </c>
      <c r="J176" s="26"/>
      <c r="K176" s="26"/>
      <c r="L176" s="26"/>
      <c r="M176" s="26"/>
      <c r="N176" s="26" t="s">
        <v>13</v>
      </c>
      <c r="O176" s="26"/>
      <c r="P176" s="25">
        <v>7703043132</v>
      </c>
      <c r="Q176" s="25" t="s">
        <v>866</v>
      </c>
      <c r="R176" s="41" t="s">
        <v>847</v>
      </c>
      <c r="S176" s="41" t="s">
        <v>238</v>
      </c>
      <c r="T176" s="41" t="s">
        <v>283</v>
      </c>
      <c r="U176" s="27" t="s">
        <v>293</v>
      </c>
      <c r="V176" s="15" t="s">
        <v>29</v>
      </c>
      <c r="W176" s="27">
        <v>3</v>
      </c>
      <c r="X176" s="27"/>
      <c r="Y176" s="27"/>
      <c r="Z176" s="27"/>
      <c r="AA176" s="27">
        <v>2.6999999999999996E-2</v>
      </c>
      <c r="AB176" s="38" t="s">
        <v>30</v>
      </c>
      <c r="AC176" s="27" t="s">
        <v>239</v>
      </c>
      <c r="AD176" s="27" t="s">
        <v>34</v>
      </c>
      <c r="AE176" s="27" t="s">
        <v>20</v>
      </c>
      <c r="AF176" s="27" t="s">
        <v>21</v>
      </c>
      <c r="AG176" s="11"/>
    </row>
    <row r="177" spans="1:33" s="12" customFormat="1" ht="21.95" hidden="1" customHeight="1">
      <c r="A177" s="31">
        <v>176</v>
      </c>
      <c r="B177" s="32">
        <v>12</v>
      </c>
      <c r="C177" s="32">
        <v>26303</v>
      </c>
      <c r="D177" s="32" t="s">
        <v>918</v>
      </c>
      <c r="E177" s="145"/>
      <c r="F177" s="133" t="s">
        <v>917</v>
      </c>
      <c r="G177" s="21" t="e">
        <f>VLOOKUP(P177,'CO F3'!$C$2:$M$108,7,FALSE)</f>
        <v>#N/A</v>
      </c>
      <c r="H177" s="21" t="e">
        <f>VLOOKUP(Q177,'CO F3'!$C$2:$M$108,7,FALSE)</f>
        <v>#N/A</v>
      </c>
      <c r="I177" s="32" t="s">
        <v>697</v>
      </c>
      <c r="J177" s="33"/>
      <c r="K177" s="33"/>
      <c r="L177" s="33"/>
      <c r="M177" s="33"/>
      <c r="N177" s="33" t="s">
        <v>13</v>
      </c>
      <c r="O177" s="33"/>
      <c r="P177" s="32" t="s">
        <v>294</v>
      </c>
      <c r="Q177" s="32" t="s">
        <v>849</v>
      </c>
      <c r="R177" s="42" t="s">
        <v>849</v>
      </c>
      <c r="S177" s="42" t="s">
        <v>238</v>
      </c>
      <c r="T177" s="42" t="s">
        <v>283</v>
      </c>
      <c r="U177" s="34" t="s">
        <v>295</v>
      </c>
      <c r="V177" s="35" t="s">
        <v>41</v>
      </c>
      <c r="W177" s="34">
        <v>1</v>
      </c>
      <c r="X177" s="34"/>
      <c r="Y177" s="34"/>
      <c r="Z177" s="34"/>
      <c r="AA177" s="34"/>
      <c r="AB177" s="38" t="s">
        <v>30</v>
      </c>
      <c r="AC177" s="34" t="s">
        <v>239</v>
      </c>
      <c r="AD177" s="34" t="s">
        <v>34</v>
      </c>
      <c r="AE177" s="34" t="s">
        <v>20</v>
      </c>
      <c r="AF177" s="34" t="s">
        <v>21</v>
      </c>
      <c r="AG177" s="11"/>
    </row>
    <row r="178" spans="1:33" s="12" customFormat="1" ht="21.95" hidden="1" customHeight="1">
      <c r="A178" s="16">
        <v>177</v>
      </c>
      <c r="B178" s="17">
        <v>12</v>
      </c>
      <c r="C178" s="17">
        <v>26303</v>
      </c>
      <c r="D178" s="17" t="s">
        <v>918</v>
      </c>
      <c r="E178" s="143"/>
      <c r="F178" s="133" t="s">
        <v>917</v>
      </c>
      <c r="G178" s="21" t="e">
        <f>VLOOKUP(P178,'CO F3'!$C$2:$M$108,7,FALSE)</f>
        <v>#N/A</v>
      </c>
      <c r="H178" s="21" t="e">
        <f>VLOOKUP(Q178,'CO F3'!$C$2:$M$108,7,FALSE)</f>
        <v>#N/A</v>
      </c>
      <c r="I178" s="17" t="s">
        <v>697</v>
      </c>
      <c r="J178" s="18"/>
      <c r="K178" s="18"/>
      <c r="L178" s="18"/>
      <c r="M178" s="18"/>
      <c r="N178" s="18"/>
      <c r="O178" s="18" t="s">
        <v>13</v>
      </c>
      <c r="P178" s="17" t="s">
        <v>296</v>
      </c>
      <c r="Q178" s="17" t="s">
        <v>861</v>
      </c>
      <c r="R178" s="40" t="s">
        <v>847</v>
      </c>
      <c r="S178" s="40" t="s">
        <v>238</v>
      </c>
      <c r="T178" s="40" t="s">
        <v>294</v>
      </c>
      <c r="U178" s="19" t="s">
        <v>297</v>
      </c>
      <c r="V178" s="13" t="s">
        <v>24</v>
      </c>
      <c r="W178" s="19">
        <v>1</v>
      </c>
      <c r="X178" s="19" t="s">
        <v>25</v>
      </c>
      <c r="Y178" s="19" t="s">
        <v>290</v>
      </c>
      <c r="Z178" s="19">
        <v>2</v>
      </c>
      <c r="AA178" s="19">
        <v>0.16600000000000001</v>
      </c>
      <c r="AB178" s="38" t="s">
        <v>30</v>
      </c>
      <c r="AC178" s="19" t="s">
        <v>239</v>
      </c>
      <c r="AD178" s="19" t="s">
        <v>34</v>
      </c>
      <c r="AE178" s="19" t="s">
        <v>20</v>
      </c>
      <c r="AF178" s="19" t="s">
        <v>21</v>
      </c>
      <c r="AG178" s="11"/>
    </row>
    <row r="179" spans="1:33" s="12" customFormat="1" ht="21.95" hidden="1" customHeight="1">
      <c r="A179" s="24">
        <v>178</v>
      </c>
      <c r="B179" s="25">
        <v>12</v>
      </c>
      <c r="C179" s="25">
        <v>26303</v>
      </c>
      <c r="D179" s="25" t="s">
        <v>918</v>
      </c>
      <c r="E179" s="144"/>
      <c r="F179" s="133" t="s">
        <v>917</v>
      </c>
      <c r="G179" s="21" t="e">
        <f>VLOOKUP(P179,'CO F3'!$C$2:$M$108,7,FALSE)</f>
        <v>#N/A</v>
      </c>
      <c r="H179" s="21" t="e">
        <f>VLOOKUP(Q179,'CO F3'!$C$2:$M$108,7,FALSE)</f>
        <v>#N/A</v>
      </c>
      <c r="I179" s="25" t="s">
        <v>697</v>
      </c>
      <c r="J179" s="26"/>
      <c r="K179" s="26"/>
      <c r="L179" s="26"/>
      <c r="M179" s="26"/>
      <c r="N179" s="26"/>
      <c r="O179" s="26" t="s">
        <v>13</v>
      </c>
      <c r="P179" s="25">
        <v>7703042070</v>
      </c>
      <c r="Q179" s="25" t="s">
        <v>849</v>
      </c>
      <c r="R179" s="41" t="s">
        <v>849</v>
      </c>
      <c r="S179" s="41" t="s">
        <v>238</v>
      </c>
      <c r="T179" s="41" t="s">
        <v>294</v>
      </c>
      <c r="U179" s="27" t="s">
        <v>282</v>
      </c>
      <c r="V179" s="15" t="s">
        <v>29</v>
      </c>
      <c r="W179" s="27">
        <v>1</v>
      </c>
      <c r="X179" s="27"/>
      <c r="Y179" s="27"/>
      <c r="Z179" s="27"/>
      <c r="AA179" s="27">
        <v>2.3E-2</v>
      </c>
      <c r="AB179" s="38" t="s">
        <v>30</v>
      </c>
      <c r="AC179" s="27" t="s">
        <v>239</v>
      </c>
      <c r="AD179" s="27" t="s">
        <v>34</v>
      </c>
      <c r="AE179" s="27" t="s">
        <v>20</v>
      </c>
      <c r="AF179" s="27" t="s">
        <v>21</v>
      </c>
      <c r="AG179" s="11"/>
    </row>
    <row r="180" spans="1:33" s="12" customFormat="1" ht="21.95" hidden="1" customHeight="1">
      <c r="A180" s="31">
        <v>179</v>
      </c>
      <c r="B180" s="32">
        <v>12</v>
      </c>
      <c r="C180" s="32">
        <v>26303</v>
      </c>
      <c r="D180" s="32" t="s">
        <v>918</v>
      </c>
      <c r="E180" s="145"/>
      <c r="F180" s="133" t="s">
        <v>917</v>
      </c>
      <c r="G180" s="21" t="e">
        <f>VLOOKUP(P180,'CO F3'!$C$2:$M$108,7,FALSE)</f>
        <v>#N/A</v>
      </c>
      <c r="H180" s="21" t="e">
        <f>VLOOKUP(Q180,'CO F3'!$C$2:$M$108,7,FALSE)</f>
        <v>#N/A</v>
      </c>
      <c r="I180" s="32" t="s">
        <v>697</v>
      </c>
      <c r="J180" s="33"/>
      <c r="K180" s="33"/>
      <c r="L180" s="33"/>
      <c r="M180" s="33"/>
      <c r="N180" s="33" t="s">
        <v>13</v>
      </c>
      <c r="O180" s="33"/>
      <c r="P180" s="32" t="s">
        <v>298</v>
      </c>
      <c r="Q180" s="32" t="s">
        <v>849</v>
      </c>
      <c r="R180" s="42" t="s">
        <v>849</v>
      </c>
      <c r="S180" s="42" t="s">
        <v>238</v>
      </c>
      <c r="T180" s="42" t="s">
        <v>283</v>
      </c>
      <c r="U180" s="34" t="s">
        <v>299</v>
      </c>
      <c r="V180" s="35" t="s">
        <v>41</v>
      </c>
      <c r="W180" s="34">
        <v>1</v>
      </c>
      <c r="X180" s="34"/>
      <c r="Y180" s="34"/>
      <c r="Z180" s="34"/>
      <c r="AA180" s="34"/>
      <c r="AB180" s="38" t="s">
        <v>30</v>
      </c>
      <c r="AC180" s="34" t="s">
        <v>239</v>
      </c>
      <c r="AD180" s="34" t="s">
        <v>34</v>
      </c>
      <c r="AE180" s="34" t="s">
        <v>20</v>
      </c>
      <c r="AF180" s="34" t="s">
        <v>21</v>
      </c>
      <c r="AG180" s="11"/>
    </row>
    <row r="181" spans="1:33" s="12" customFormat="1" ht="21.95" hidden="1" customHeight="1">
      <c r="A181" s="16">
        <v>180</v>
      </c>
      <c r="B181" s="17">
        <v>12</v>
      </c>
      <c r="C181" s="17">
        <v>26303</v>
      </c>
      <c r="D181" s="17" t="s">
        <v>918</v>
      </c>
      <c r="E181" s="143"/>
      <c r="F181" s="133" t="s">
        <v>917</v>
      </c>
      <c r="G181" s="21" t="e">
        <f>VLOOKUP(P181,'CO F3'!$C$2:$M$108,7,FALSE)</f>
        <v>#N/A</v>
      </c>
      <c r="H181" s="21" t="e">
        <f>VLOOKUP(Q181,'CO F3'!$C$2:$M$108,7,FALSE)</f>
        <v>#N/A</v>
      </c>
      <c r="I181" s="17" t="s">
        <v>697</v>
      </c>
      <c r="J181" s="18"/>
      <c r="K181" s="18"/>
      <c r="L181" s="18"/>
      <c r="M181" s="18"/>
      <c r="N181" s="18"/>
      <c r="O181" s="18" t="s">
        <v>13</v>
      </c>
      <c r="P181" s="17" t="s">
        <v>300</v>
      </c>
      <c r="Q181" s="17" t="s">
        <v>861</v>
      </c>
      <c r="R181" s="40" t="s">
        <v>847</v>
      </c>
      <c r="S181" s="40" t="s">
        <v>238</v>
      </c>
      <c r="T181" s="40" t="s">
        <v>298</v>
      </c>
      <c r="U181" s="19" t="s">
        <v>301</v>
      </c>
      <c r="V181" s="13" t="s">
        <v>24</v>
      </c>
      <c r="W181" s="19">
        <v>1</v>
      </c>
      <c r="X181" s="19" t="s">
        <v>838</v>
      </c>
      <c r="Y181" s="19" t="s">
        <v>38</v>
      </c>
      <c r="Z181" s="19">
        <v>2.5</v>
      </c>
      <c r="AA181" s="19">
        <v>0.34</v>
      </c>
      <c r="AB181" s="38" t="s">
        <v>30</v>
      </c>
      <c r="AC181" s="19" t="s">
        <v>239</v>
      </c>
      <c r="AD181" s="19" t="s">
        <v>34</v>
      </c>
      <c r="AE181" s="19" t="s">
        <v>20</v>
      </c>
      <c r="AF181" s="19" t="s">
        <v>21</v>
      </c>
      <c r="AG181" s="11"/>
    </row>
    <row r="182" spans="1:33" s="12" customFormat="1" ht="21.95" hidden="1" customHeight="1">
      <c r="A182" s="24">
        <v>181</v>
      </c>
      <c r="B182" s="25">
        <v>12</v>
      </c>
      <c r="C182" s="25">
        <v>26303</v>
      </c>
      <c r="D182" s="25" t="s">
        <v>918</v>
      </c>
      <c r="E182" s="144"/>
      <c r="F182" s="133" t="s">
        <v>917</v>
      </c>
      <c r="G182" s="21" t="e">
        <f>VLOOKUP(P182,'CO F3'!$C$2:$M$108,7,FALSE)</f>
        <v>#N/A</v>
      </c>
      <c r="H182" s="21" t="e">
        <f>VLOOKUP(Q182,'CO F3'!$C$2:$M$108,7,FALSE)</f>
        <v>#N/A</v>
      </c>
      <c r="I182" s="25" t="s">
        <v>697</v>
      </c>
      <c r="J182" s="26"/>
      <c r="K182" s="26"/>
      <c r="L182" s="26"/>
      <c r="M182" s="26"/>
      <c r="N182" s="26"/>
      <c r="O182" s="26" t="s">
        <v>13</v>
      </c>
      <c r="P182" s="25" t="s">
        <v>302</v>
      </c>
      <c r="Q182" s="25" t="s">
        <v>849</v>
      </c>
      <c r="R182" s="41" t="s">
        <v>849</v>
      </c>
      <c r="S182" s="41" t="s">
        <v>238</v>
      </c>
      <c r="T182" s="41" t="s">
        <v>298</v>
      </c>
      <c r="U182" s="27" t="s">
        <v>303</v>
      </c>
      <c r="V182" s="15" t="s">
        <v>29</v>
      </c>
      <c r="W182" s="27">
        <v>1</v>
      </c>
      <c r="X182" s="27" t="s">
        <v>304</v>
      </c>
      <c r="Y182" s="27"/>
      <c r="Z182" s="27" t="s">
        <v>305</v>
      </c>
      <c r="AA182" s="27">
        <v>0.24</v>
      </c>
      <c r="AB182" s="38" t="s">
        <v>30</v>
      </c>
      <c r="AC182" s="27" t="s">
        <v>239</v>
      </c>
      <c r="AD182" s="27" t="s">
        <v>34</v>
      </c>
      <c r="AE182" s="27" t="s">
        <v>20</v>
      </c>
      <c r="AF182" s="27" t="s">
        <v>21</v>
      </c>
      <c r="AG182" s="11"/>
    </row>
    <row r="183" spans="1:33" s="12" customFormat="1" ht="21.95" hidden="1" customHeight="1">
      <c r="A183" s="31">
        <v>182</v>
      </c>
      <c r="B183" s="32">
        <v>12</v>
      </c>
      <c r="C183" s="32">
        <v>26303</v>
      </c>
      <c r="D183" s="32" t="s">
        <v>918</v>
      </c>
      <c r="E183" s="145"/>
      <c r="F183" s="133" t="s">
        <v>890</v>
      </c>
      <c r="G183" s="21" t="str">
        <f>VLOOKUP(P183,'CO F3'!$C$2:$M$108,7,FALSE)</f>
        <v>SC GIC NOSAG METAL SRL</v>
      </c>
      <c r="H183" s="21" t="e">
        <f>VLOOKUP(Q183,'CO F3'!$C$2:$M$108,7,FALSE)</f>
        <v>#N/A</v>
      </c>
      <c r="I183" s="32" t="s">
        <v>697</v>
      </c>
      <c r="J183" s="33"/>
      <c r="K183" s="33"/>
      <c r="L183" s="33"/>
      <c r="M183" s="33"/>
      <c r="N183" s="33" t="s">
        <v>13</v>
      </c>
      <c r="O183" s="33"/>
      <c r="P183" s="32" t="s">
        <v>306</v>
      </c>
      <c r="Q183" s="32" t="s">
        <v>849</v>
      </c>
      <c r="R183" s="42" t="s">
        <v>849</v>
      </c>
      <c r="S183" s="42" t="s">
        <v>238</v>
      </c>
      <c r="T183" s="42" t="s">
        <v>283</v>
      </c>
      <c r="U183" s="34" t="s">
        <v>307</v>
      </c>
      <c r="V183" s="35" t="s">
        <v>41</v>
      </c>
      <c r="W183" s="34">
        <v>1</v>
      </c>
      <c r="X183" s="34"/>
      <c r="Y183" s="34"/>
      <c r="Z183" s="34"/>
      <c r="AA183" s="34"/>
      <c r="AB183" s="38" t="s">
        <v>30</v>
      </c>
      <c r="AC183" s="34" t="s">
        <v>239</v>
      </c>
      <c r="AD183" s="34" t="s">
        <v>34</v>
      </c>
      <c r="AE183" s="34" t="s">
        <v>20</v>
      </c>
      <c r="AF183" s="34" t="s">
        <v>21</v>
      </c>
      <c r="AG183" s="11"/>
    </row>
    <row r="184" spans="1:33" s="12" customFormat="1" ht="21.95" hidden="1" customHeight="1">
      <c r="A184" s="16">
        <v>183</v>
      </c>
      <c r="B184" s="17">
        <v>12</v>
      </c>
      <c r="C184" s="17">
        <v>26303</v>
      </c>
      <c r="D184" s="17" t="s">
        <v>918</v>
      </c>
      <c r="E184" s="143"/>
      <c r="F184" s="133" t="s">
        <v>917</v>
      </c>
      <c r="G184" s="21" t="e">
        <f>VLOOKUP(P184,'CO F3'!$C$2:$M$108,7,FALSE)</f>
        <v>#N/A</v>
      </c>
      <c r="H184" s="21" t="e">
        <f>VLOOKUP(Q184,'CO F3'!$C$2:$M$108,7,FALSE)</f>
        <v>#N/A</v>
      </c>
      <c r="I184" s="17" t="s">
        <v>697</v>
      </c>
      <c r="J184" s="18"/>
      <c r="K184" s="18"/>
      <c r="L184" s="18"/>
      <c r="M184" s="18"/>
      <c r="N184" s="18"/>
      <c r="O184" s="18" t="s">
        <v>13</v>
      </c>
      <c r="P184" s="17" t="s">
        <v>308</v>
      </c>
      <c r="Q184" s="17" t="s">
        <v>866</v>
      </c>
      <c r="R184" s="40" t="s">
        <v>847</v>
      </c>
      <c r="S184" s="40" t="s">
        <v>238</v>
      </c>
      <c r="T184" s="40" t="s">
        <v>306</v>
      </c>
      <c r="U184" s="19" t="s">
        <v>309</v>
      </c>
      <c r="V184" s="13" t="s">
        <v>24</v>
      </c>
      <c r="W184" s="19">
        <v>1</v>
      </c>
      <c r="X184" s="19" t="s">
        <v>367</v>
      </c>
      <c r="Y184" s="19" t="s">
        <v>134</v>
      </c>
      <c r="Z184" s="19">
        <v>1.5</v>
      </c>
      <c r="AA184" s="19">
        <v>0.24</v>
      </c>
      <c r="AB184" s="38" t="s">
        <v>30</v>
      </c>
      <c r="AC184" s="19" t="s">
        <v>239</v>
      </c>
      <c r="AD184" s="19" t="s">
        <v>34</v>
      </c>
      <c r="AE184" s="19" t="s">
        <v>20</v>
      </c>
      <c r="AF184" s="19" t="s">
        <v>21</v>
      </c>
      <c r="AG184" s="11"/>
    </row>
    <row r="185" spans="1:33" s="12" customFormat="1" ht="21.95" hidden="1" customHeight="1">
      <c r="A185" s="24">
        <v>184</v>
      </c>
      <c r="B185" s="25">
        <v>12</v>
      </c>
      <c r="C185" s="25">
        <v>26303</v>
      </c>
      <c r="D185" s="25" t="s">
        <v>918</v>
      </c>
      <c r="E185" s="144"/>
      <c r="F185" s="133" t="s">
        <v>917</v>
      </c>
      <c r="G185" s="21" t="e">
        <f>VLOOKUP(P185,'CO F3'!$C$2:$M$108,7,FALSE)</f>
        <v>#N/A</v>
      </c>
      <c r="H185" s="21" t="e">
        <f>VLOOKUP(Q185,'CO F3'!$C$2:$M$108,7,FALSE)</f>
        <v>#N/A</v>
      </c>
      <c r="I185" s="25" t="s">
        <v>697</v>
      </c>
      <c r="J185" s="26"/>
      <c r="K185" s="26"/>
      <c r="L185" s="26"/>
      <c r="M185" s="26"/>
      <c r="N185" s="26"/>
      <c r="O185" s="26" t="s">
        <v>13</v>
      </c>
      <c r="P185" s="25">
        <v>7703042086</v>
      </c>
      <c r="Q185" s="25" t="s">
        <v>849</v>
      </c>
      <c r="R185" s="41" t="s">
        <v>849</v>
      </c>
      <c r="S185" s="41" t="s">
        <v>238</v>
      </c>
      <c r="T185" s="41" t="s">
        <v>306</v>
      </c>
      <c r="U185" s="27" t="s">
        <v>75</v>
      </c>
      <c r="V185" s="15" t="s">
        <v>29</v>
      </c>
      <c r="W185" s="27">
        <v>3</v>
      </c>
      <c r="X185" s="27"/>
      <c r="Y185" s="27"/>
      <c r="Z185" s="27"/>
      <c r="AA185" s="27">
        <v>1.8000000000000002E-2</v>
      </c>
      <c r="AB185" s="38" t="s">
        <v>30</v>
      </c>
      <c r="AC185" s="27" t="s">
        <v>239</v>
      </c>
      <c r="AD185" s="27" t="s">
        <v>34</v>
      </c>
      <c r="AE185" s="27" t="s">
        <v>20</v>
      </c>
      <c r="AF185" s="27" t="s">
        <v>21</v>
      </c>
      <c r="AG185" s="11"/>
    </row>
    <row r="186" spans="1:33" s="12" customFormat="1" ht="21.95" hidden="1" customHeight="1">
      <c r="A186" s="24">
        <v>185</v>
      </c>
      <c r="B186" s="25">
        <v>12</v>
      </c>
      <c r="C186" s="25">
        <v>26303</v>
      </c>
      <c r="D186" s="25" t="s">
        <v>918</v>
      </c>
      <c r="E186" s="144"/>
      <c r="F186" s="133" t="s">
        <v>917</v>
      </c>
      <c r="G186" s="21" t="e">
        <f>VLOOKUP(P186,'CO F3'!$C$2:$M$108,7,FALSE)</f>
        <v>#N/A</v>
      </c>
      <c r="H186" s="21" t="e">
        <f>VLOOKUP(Q186,'CO F3'!$C$2:$M$108,7,FALSE)</f>
        <v>#N/A</v>
      </c>
      <c r="I186" s="25" t="s">
        <v>697</v>
      </c>
      <c r="J186" s="26"/>
      <c r="K186" s="26"/>
      <c r="L186" s="26"/>
      <c r="M186" s="26"/>
      <c r="N186" s="26"/>
      <c r="O186" s="26" t="s">
        <v>13</v>
      </c>
      <c r="P186" s="25">
        <v>7703042065</v>
      </c>
      <c r="Q186" s="25" t="s">
        <v>849</v>
      </c>
      <c r="R186" s="41" t="s">
        <v>849</v>
      </c>
      <c r="S186" s="41" t="s">
        <v>238</v>
      </c>
      <c r="T186" s="41" t="s">
        <v>306</v>
      </c>
      <c r="U186" s="27" t="s">
        <v>310</v>
      </c>
      <c r="V186" s="15" t="s">
        <v>29</v>
      </c>
      <c r="W186" s="27">
        <v>4</v>
      </c>
      <c r="X186" s="27"/>
      <c r="Y186" s="27"/>
      <c r="Z186" s="27"/>
      <c r="AA186" s="27">
        <v>2.8000000000000001E-2</v>
      </c>
      <c r="AB186" s="38" t="s">
        <v>30</v>
      </c>
      <c r="AC186" s="27" t="s">
        <v>239</v>
      </c>
      <c r="AD186" s="27" t="s">
        <v>34</v>
      </c>
      <c r="AE186" s="27" t="s">
        <v>20</v>
      </c>
      <c r="AF186" s="27" t="s">
        <v>21</v>
      </c>
      <c r="AG186" s="11"/>
    </row>
    <row r="187" spans="1:33" s="12" customFormat="1" ht="21.95" hidden="1" customHeight="1">
      <c r="A187" s="20">
        <v>186</v>
      </c>
      <c r="B187" s="21">
        <v>12</v>
      </c>
      <c r="C187" s="21">
        <v>26303</v>
      </c>
      <c r="D187" s="21" t="s">
        <v>918</v>
      </c>
      <c r="E187" s="142"/>
      <c r="F187" s="21" t="s">
        <v>918</v>
      </c>
      <c r="G187" s="21" t="s">
        <v>918</v>
      </c>
      <c r="H187" s="21" t="s">
        <v>918</v>
      </c>
      <c r="I187" s="21" t="s">
        <v>697</v>
      </c>
      <c r="J187" s="22" t="s">
        <v>13</v>
      </c>
      <c r="K187" s="22"/>
      <c r="L187" s="22"/>
      <c r="M187" s="22"/>
      <c r="N187" s="22"/>
      <c r="O187" s="22"/>
      <c r="P187" s="21" t="s">
        <v>311</v>
      </c>
      <c r="Q187" s="77" t="s">
        <v>15</v>
      </c>
      <c r="R187" s="209" t="s">
        <v>15</v>
      </c>
      <c r="S187" s="39" t="s">
        <v>312</v>
      </c>
      <c r="T187" s="39"/>
      <c r="U187" s="23" t="s">
        <v>312</v>
      </c>
      <c r="V187" s="14" t="s">
        <v>16</v>
      </c>
      <c r="W187" s="23">
        <v>1</v>
      </c>
      <c r="X187" s="23"/>
      <c r="Y187" s="23"/>
      <c r="Z187" s="23"/>
      <c r="AA187" s="23">
        <v>13.336</v>
      </c>
      <c r="AB187" s="37" t="s">
        <v>17</v>
      </c>
      <c r="AC187" s="23" t="s">
        <v>239</v>
      </c>
      <c r="AD187" s="23" t="s">
        <v>19</v>
      </c>
      <c r="AE187" s="23" t="s">
        <v>20</v>
      </c>
      <c r="AF187" s="23" t="s">
        <v>21</v>
      </c>
      <c r="AG187" s="11"/>
    </row>
    <row r="188" spans="1:33" s="12" customFormat="1" ht="21.95" hidden="1" customHeight="1">
      <c r="A188" s="31">
        <v>187</v>
      </c>
      <c r="B188" s="32">
        <v>12</v>
      </c>
      <c r="C188" s="32">
        <v>26303</v>
      </c>
      <c r="D188" s="32" t="s">
        <v>918</v>
      </c>
      <c r="E188" s="145"/>
      <c r="F188" s="21" t="s">
        <v>917</v>
      </c>
      <c r="G188" s="21" t="e">
        <f>VLOOKUP(P188,'CO F3'!$C$2:$M$108,7,FALSE)</f>
        <v>#N/A</v>
      </c>
      <c r="H188" s="21" t="e">
        <f>VLOOKUP(Q188,'CO F3'!$C$2:$M$108,7,FALSE)</f>
        <v>#N/A</v>
      </c>
      <c r="I188" s="32" t="s">
        <v>697</v>
      </c>
      <c r="J188" s="33"/>
      <c r="K188" s="33" t="s">
        <v>13</v>
      </c>
      <c r="L188" s="33"/>
      <c r="M188" s="33"/>
      <c r="N188" s="33"/>
      <c r="O188" s="33"/>
      <c r="P188" s="32" t="s">
        <v>810</v>
      </c>
      <c r="Q188" s="32" t="s">
        <v>849</v>
      </c>
      <c r="R188" s="42" t="s">
        <v>849</v>
      </c>
      <c r="S188" s="42" t="s">
        <v>312</v>
      </c>
      <c r="T188" s="42" t="s">
        <v>311</v>
      </c>
      <c r="U188" s="34" t="s">
        <v>313</v>
      </c>
      <c r="V188" s="35" t="s">
        <v>41</v>
      </c>
      <c r="W188" s="34">
        <v>1</v>
      </c>
      <c r="X188" s="34"/>
      <c r="Y188" s="34"/>
      <c r="Z188" s="34"/>
      <c r="AA188" s="34">
        <v>2.1880000000000002</v>
      </c>
      <c r="AB188" s="38" t="s">
        <v>30</v>
      </c>
      <c r="AC188" s="34" t="s">
        <v>239</v>
      </c>
      <c r="AD188" s="34" t="s">
        <v>19</v>
      </c>
      <c r="AE188" s="34" t="s">
        <v>20</v>
      </c>
      <c r="AF188" s="34" t="s">
        <v>21</v>
      </c>
      <c r="AG188" s="11"/>
    </row>
    <row r="189" spans="1:33" s="12" customFormat="1" ht="21.95" hidden="1" customHeight="1">
      <c r="A189" s="16">
        <v>188</v>
      </c>
      <c r="B189" s="17">
        <v>12</v>
      </c>
      <c r="C189" s="17">
        <v>26303</v>
      </c>
      <c r="D189" s="17" t="s">
        <v>918</v>
      </c>
      <c r="E189" s="143"/>
      <c r="F189" s="21" t="s">
        <v>917</v>
      </c>
      <c r="G189" s="21" t="e">
        <f>VLOOKUP(P189,'CO F3'!$C$2:$M$108,7,FALSE)</f>
        <v>#N/A</v>
      </c>
      <c r="H189" s="21" t="e">
        <f>VLOOKUP(Q189,'CO F3'!$C$2:$M$108,7,FALSE)</f>
        <v>#N/A</v>
      </c>
      <c r="I189" s="17" t="s">
        <v>697</v>
      </c>
      <c r="J189" s="18"/>
      <c r="K189" s="18"/>
      <c r="L189" s="18" t="s">
        <v>13</v>
      </c>
      <c r="M189" s="18"/>
      <c r="N189" s="18"/>
      <c r="O189" s="18"/>
      <c r="P189" s="17" t="s">
        <v>314</v>
      </c>
      <c r="Q189" s="17" t="s">
        <v>861</v>
      </c>
      <c r="R189" s="40" t="s">
        <v>851</v>
      </c>
      <c r="S189" s="40" t="s">
        <v>312</v>
      </c>
      <c r="T189" s="40" t="s">
        <v>810</v>
      </c>
      <c r="U189" s="19" t="s">
        <v>315</v>
      </c>
      <c r="V189" s="13" t="s">
        <v>24</v>
      </c>
      <c r="W189" s="19">
        <v>1</v>
      </c>
      <c r="X189" s="19" t="s">
        <v>25</v>
      </c>
      <c r="Y189" s="19" t="s">
        <v>316</v>
      </c>
      <c r="Z189" s="19">
        <v>2</v>
      </c>
      <c r="AA189" s="19">
        <v>5.3999999999999999E-2</v>
      </c>
      <c r="AB189" s="38" t="s">
        <v>30</v>
      </c>
      <c r="AC189" s="19" t="s">
        <v>239</v>
      </c>
      <c r="AD189" s="19" t="s">
        <v>19</v>
      </c>
      <c r="AE189" s="19" t="s">
        <v>20</v>
      </c>
      <c r="AF189" s="19" t="s">
        <v>21</v>
      </c>
      <c r="AG189" s="11"/>
    </row>
    <row r="190" spans="1:33" s="12" customFormat="1" ht="21.95" hidden="1" customHeight="1">
      <c r="A190" s="24">
        <v>189</v>
      </c>
      <c r="B190" s="25">
        <v>12</v>
      </c>
      <c r="C190" s="25">
        <v>26303</v>
      </c>
      <c r="D190" s="25" t="s">
        <v>918</v>
      </c>
      <c r="E190" s="144"/>
      <c r="F190" s="21" t="s">
        <v>917</v>
      </c>
      <c r="G190" s="21" t="e">
        <f>VLOOKUP(P190,'CO F3'!$C$2:$M$108,7,FALSE)</f>
        <v>#N/A</v>
      </c>
      <c r="H190" s="21" t="e">
        <f>VLOOKUP(Q190,'CO F3'!$C$2:$M$108,7,FALSE)</f>
        <v>#N/A</v>
      </c>
      <c r="I190" s="25" t="s">
        <v>697</v>
      </c>
      <c r="J190" s="26"/>
      <c r="K190" s="26"/>
      <c r="L190" s="26" t="s">
        <v>13</v>
      </c>
      <c r="M190" s="26"/>
      <c r="N190" s="26"/>
      <c r="O190" s="26"/>
      <c r="P190" s="25">
        <v>7703042086</v>
      </c>
      <c r="Q190" s="25" t="s">
        <v>849</v>
      </c>
      <c r="R190" s="41" t="s">
        <v>849</v>
      </c>
      <c r="S190" s="41" t="s">
        <v>312</v>
      </c>
      <c r="T190" s="41" t="s">
        <v>810</v>
      </c>
      <c r="U190" s="27" t="s">
        <v>75</v>
      </c>
      <c r="V190" s="15" t="s">
        <v>29</v>
      </c>
      <c r="W190" s="27">
        <v>1</v>
      </c>
      <c r="X190" s="27"/>
      <c r="Y190" s="27"/>
      <c r="Z190" s="27"/>
      <c r="AA190" s="27">
        <v>6.0000000000000001E-3</v>
      </c>
      <c r="AB190" s="38" t="s">
        <v>30</v>
      </c>
      <c r="AC190" s="27" t="s">
        <v>239</v>
      </c>
      <c r="AD190" s="27" t="s">
        <v>19</v>
      </c>
      <c r="AE190" s="27" t="s">
        <v>20</v>
      </c>
      <c r="AF190" s="27" t="s">
        <v>21</v>
      </c>
      <c r="AG190" s="11"/>
    </row>
    <row r="191" spans="1:33" s="12" customFormat="1" ht="21.95" hidden="1" customHeight="1">
      <c r="A191" s="31">
        <v>190</v>
      </c>
      <c r="B191" s="32">
        <v>12</v>
      </c>
      <c r="C191" s="32">
        <v>26303</v>
      </c>
      <c r="D191" s="32" t="s">
        <v>918</v>
      </c>
      <c r="E191" s="145"/>
      <c r="F191" s="21" t="s">
        <v>917</v>
      </c>
      <c r="G191" s="21" t="e">
        <f>VLOOKUP(P191,'CO F3'!$C$2:$M$108,7,FALSE)</f>
        <v>#N/A</v>
      </c>
      <c r="H191" s="21" t="e">
        <f>VLOOKUP(Q191,'CO F3'!$C$2:$M$108,7,FALSE)</f>
        <v>#N/A</v>
      </c>
      <c r="I191" s="32" t="s">
        <v>697</v>
      </c>
      <c r="J191" s="33"/>
      <c r="K191" s="33"/>
      <c r="L191" s="33" t="s">
        <v>13</v>
      </c>
      <c r="M191" s="33"/>
      <c r="N191" s="33"/>
      <c r="O191" s="33"/>
      <c r="P191" s="133"/>
      <c r="Q191" s="32" t="s">
        <v>849</v>
      </c>
      <c r="R191" s="42" t="s">
        <v>849</v>
      </c>
      <c r="S191" s="42" t="s">
        <v>312</v>
      </c>
      <c r="T191" s="42" t="s">
        <v>810</v>
      </c>
      <c r="U191" s="34" t="s">
        <v>317</v>
      </c>
      <c r="V191" s="35" t="s">
        <v>41</v>
      </c>
      <c r="W191" s="34">
        <v>1</v>
      </c>
      <c r="X191" s="34"/>
      <c r="Y191" s="34"/>
      <c r="Z191" s="34"/>
      <c r="AA191" s="34">
        <v>1.359</v>
      </c>
      <c r="AB191" s="38" t="s">
        <v>30</v>
      </c>
      <c r="AC191" s="34" t="s">
        <v>239</v>
      </c>
      <c r="AD191" s="34" t="s">
        <v>19</v>
      </c>
      <c r="AE191" s="34" t="s">
        <v>20</v>
      </c>
      <c r="AF191" s="34" t="s">
        <v>21</v>
      </c>
      <c r="AG191" s="11"/>
    </row>
    <row r="192" spans="1:33" s="12" customFormat="1" ht="21.95" hidden="1" customHeight="1">
      <c r="A192" s="16">
        <v>191</v>
      </c>
      <c r="B192" s="17">
        <v>12</v>
      </c>
      <c r="C192" s="17">
        <v>26303</v>
      </c>
      <c r="D192" s="17" t="s">
        <v>918</v>
      </c>
      <c r="E192" s="143"/>
      <c r="F192" s="21" t="s">
        <v>917</v>
      </c>
      <c r="G192" s="21" t="e">
        <f>VLOOKUP(P192,'CO F3'!$C$2:$M$108,7,FALSE)</f>
        <v>#N/A</v>
      </c>
      <c r="H192" s="21" t="e">
        <f>VLOOKUP(Q192,'CO F3'!$C$2:$M$108,7,FALSE)</f>
        <v>#N/A</v>
      </c>
      <c r="I192" s="17" t="s">
        <v>697</v>
      </c>
      <c r="J192" s="18"/>
      <c r="K192" s="18"/>
      <c r="L192" s="18"/>
      <c r="M192" s="18" t="s">
        <v>13</v>
      </c>
      <c r="N192" s="18"/>
      <c r="O192" s="18"/>
      <c r="P192" s="17" t="s">
        <v>318</v>
      </c>
      <c r="Q192" s="17" t="s">
        <v>861</v>
      </c>
      <c r="R192" s="40" t="s">
        <v>850</v>
      </c>
      <c r="S192" s="40" t="s">
        <v>312</v>
      </c>
      <c r="T192" s="138"/>
      <c r="U192" s="19" t="s">
        <v>319</v>
      </c>
      <c r="V192" s="13" t="s">
        <v>24</v>
      </c>
      <c r="W192" s="19">
        <v>1</v>
      </c>
      <c r="X192" s="19" t="s">
        <v>367</v>
      </c>
      <c r="Y192" s="19" t="s">
        <v>180</v>
      </c>
      <c r="Z192" s="19">
        <v>1.2</v>
      </c>
      <c r="AA192" s="19">
        <v>1.341</v>
      </c>
      <c r="AB192" s="38" t="s">
        <v>30</v>
      </c>
      <c r="AC192" s="19" t="s">
        <v>239</v>
      </c>
      <c r="AD192" s="19" t="s">
        <v>19</v>
      </c>
      <c r="AE192" s="19" t="s">
        <v>20</v>
      </c>
      <c r="AF192" s="19" t="s">
        <v>21</v>
      </c>
      <c r="AG192" s="11"/>
    </row>
    <row r="193" spans="1:33" s="12" customFormat="1" ht="21.95" hidden="1" customHeight="1">
      <c r="A193" s="24">
        <v>192</v>
      </c>
      <c r="B193" s="25">
        <v>12</v>
      </c>
      <c r="C193" s="25">
        <v>26303</v>
      </c>
      <c r="D193" s="25" t="s">
        <v>918</v>
      </c>
      <c r="E193" s="144"/>
      <c r="F193" s="21" t="s">
        <v>917</v>
      </c>
      <c r="G193" s="21" t="e">
        <f>VLOOKUP(P193,'CO F3'!$C$2:$M$108,7,FALSE)</f>
        <v>#N/A</v>
      </c>
      <c r="H193" s="21" t="e">
        <f>VLOOKUP(Q193,'CO F3'!$C$2:$M$108,7,FALSE)</f>
        <v>#N/A</v>
      </c>
      <c r="I193" s="25" t="s">
        <v>697</v>
      </c>
      <c r="J193" s="26"/>
      <c r="K193" s="26"/>
      <c r="L193" s="26"/>
      <c r="M193" s="26" t="s">
        <v>13</v>
      </c>
      <c r="N193" s="26"/>
      <c r="O193" s="26"/>
      <c r="P193" s="25">
        <v>7703042086</v>
      </c>
      <c r="Q193" s="25" t="s">
        <v>849</v>
      </c>
      <c r="R193" s="41" t="s">
        <v>849</v>
      </c>
      <c r="S193" s="41" t="s">
        <v>312</v>
      </c>
      <c r="T193" s="138"/>
      <c r="U193" s="27" t="s">
        <v>75</v>
      </c>
      <c r="V193" s="15" t="s">
        <v>29</v>
      </c>
      <c r="W193" s="27">
        <v>3</v>
      </c>
      <c r="X193" s="27"/>
      <c r="Y193" s="27"/>
      <c r="Z193" s="27"/>
      <c r="AA193" s="27">
        <v>1.8000000000000002E-2</v>
      </c>
      <c r="AB193" s="38" t="s">
        <v>30</v>
      </c>
      <c r="AC193" s="27" t="s">
        <v>239</v>
      </c>
      <c r="AD193" s="27" t="s">
        <v>19</v>
      </c>
      <c r="AE193" s="27" t="s">
        <v>20</v>
      </c>
      <c r="AF193" s="27" t="s">
        <v>21</v>
      </c>
      <c r="AG193" s="11"/>
    </row>
    <row r="194" spans="1:33" s="12" customFormat="1" ht="21.95" hidden="1" customHeight="1">
      <c r="A194" s="31">
        <v>193</v>
      </c>
      <c r="B194" s="32">
        <v>12</v>
      </c>
      <c r="C194" s="32">
        <v>26303</v>
      </c>
      <c r="D194" s="32" t="s">
        <v>918</v>
      </c>
      <c r="E194" s="145"/>
      <c r="F194" s="21" t="s">
        <v>917</v>
      </c>
      <c r="G194" s="21" t="e">
        <f>VLOOKUP(P194,'CO F3'!$C$2:$M$108,7,FALSE)</f>
        <v>#N/A</v>
      </c>
      <c r="H194" s="21" t="e">
        <f>VLOOKUP(Q194,'CO F3'!$C$2:$M$108,7,FALSE)</f>
        <v>#N/A</v>
      </c>
      <c r="I194" s="32" t="s">
        <v>697</v>
      </c>
      <c r="J194" s="33"/>
      <c r="K194" s="33"/>
      <c r="L194" s="33" t="s">
        <v>13</v>
      </c>
      <c r="M194" s="33"/>
      <c r="N194" s="33"/>
      <c r="O194" s="33"/>
      <c r="P194" s="32" t="s">
        <v>320</v>
      </c>
      <c r="Q194" s="32" t="s">
        <v>849</v>
      </c>
      <c r="R194" s="42" t="s">
        <v>849</v>
      </c>
      <c r="S194" s="42" t="s">
        <v>312</v>
      </c>
      <c r="T194" s="42" t="s">
        <v>810</v>
      </c>
      <c r="U194" s="34" t="s">
        <v>321</v>
      </c>
      <c r="V194" s="35" t="s">
        <v>41</v>
      </c>
      <c r="W194" s="34">
        <v>1</v>
      </c>
      <c r="X194" s="34"/>
      <c r="Y194" s="34"/>
      <c r="Z194" s="34"/>
      <c r="AA194" s="34">
        <v>0.56399999999999995</v>
      </c>
      <c r="AB194" s="38" t="s">
        <v>30</v>
      </c>
      <c r="AC194" s="34" t="s">
        <v>239</v>
      </c>
      <c r="AD194" s="34" t="s">
        <v>19</v>
      </c>
      <c r="AE194" s="34" t="s">
        <v>20</v>
      </c>
      <c r="AF194" s="34" t="s">
        <v>21</v>
      </c>
      <c r="AG194" s="11"/>
    </row>
    <row r="195" spans="1:33" s="12" customFormat="1" ht="21.95" hidden="1" customHeight="1">
      <c r="A195" s="16">
        <v>194</v>
      </c>
      <c r="B195" s="17">
        <v>12</v>
      </c>
      <c r="C195" s="17">
        <v>26303</v>
      </c>
      <c r="D195" s="17" t="s">
        <v>918</v>
      </c>
      <c r="E195" s="143"/>
      <c r="F195" s="21" t="s">
        <v>917</v>
      </c>
      <c r="G195" s="21" t="e">
        <f>VLOOKUP(P195,'CO F3'!$C$2:$M$108,7,FALSE)</f>
        <v>#N/A</v>
      </c>
      <c r="H195" s="21" t="e">
        <f>VLOOKUP(Q195,'CO F3'!$C$2:$M$108,7,FALSE)</f>
        <v>#N/A</v>
      </c>
      <c r="I195" s="17" t="s">
        <v>697</v>
      </c>
      <c r="J195" s="18"/>
      <c r="K195" s="18"/>
      <c r="L195" s="18"/>
      <c r="M195" s="18" t="s">
        <v>13</v>
      </c>
      <c r="N195" s="18"/>
      <c r="O195" s="18"/>
      <c r="P195" s="17" t="s">
        <v>322</v>
      </c>
      <c r="Q195" s="17" t="s">
        <v>861</v>
      </c>
      <c r="R195" s="40" t="s">
        <v>851</v>
      </c>
      <c r="S195" s="40" t="s">
        <v>312</v>
      </c>
      <c r="T195" s="40" t="s">
        <v>320</v>
      </c>
      <c r="U195" s="19" t="s">
        <v>323</v>
      </c>
      <c r="V195" s="13" t="s">
        <v>24</v>
      </c>
      <c r="W195" s="19">
        <v>1</v>
      </c>
      <c r="X195" s="19" t="s">
        <v>462</v>
      </c>
      <c r="Y195" s="19" t="s">
        <v>194</v>
      </c>
      <c r="Z195" s="19" t="s">
        <v>324</v>
      </c>
      <c r="AA195" s="19" t="s">
        <v>325</v>
      </c>
      <c r="AB195" s="38" t="s">
        <v>30</v>
      </c>
      <c r="AC195" s="19" t="s">
        <v>239</v>
      </c>
      <c r="AD195" s="19" t="s">
        <v>19</v>
      </c>
      <c r="AE195" s="19" t="s">
        <v>20</v>
      </c>
      <c r="AF195" s="19" t="s">
        <v>21</v>
      </c>
      <c r="AG195" s="11"/>
    </row>
    <row r="196" spans="1:33" s="12" customFormat="1" ht="21.95" hidden="1" customHeight="1">
      <c r="A196" s="24">
        <v>195</v>
      </c>
      <c r="B196" s="25">
        <v>12</v>
      </c>
      <c r="C196" s="25">
        <v>26303</v>
      </c>
      <c r="D196" s="25" t="s">
        <v>918</v>
      </c>
      <c r="E196" s="144"/>
      <c r="F196" s="21" t="s">
        <v>917</v>
      </c>
      <c r="G196" s="21" t="e">
        <f>VLOOKUP(P196,'CO F3'!$C$2:$M$108,7,FALSE)</f>
        <v>#N/A</v>
      </c>
      <c r="H196" s="21" t="e">
        <f>VLOOKUP(Q196,'CO F3'!$C$2:$M$108,7,FALSE)</f>
        <v>#N/A</v>
      </c>
      <c r="I196" s="25" t="s">
        <v>697</v>
      </c>
      <c r="J196" s="26"/>
      <c r="K196" s="26"/>
      <c r="L196" s="26"/>
      <c r="M196" s="26" t="s">
        <v>13</v>
      </c>
      <c r="N196" s="26"/>
      <c r="O196" s="26"/>
      <c r="P196" s="25">
        <v>7703042086</v>
      </c>
      <c r="Q196" s="25" t="s">
        <v>849</v>
      </c>
      <c r="R196" s="41" t="s">
        <v>849</v>
      </c>
      <c r="S196" s="41" t="s">
        <v>312</v>
      </c>
      <c r="T196" s="41" t="s">
        <v>320</v>
      </c>
      <c r="U196" s="27" t="s">
        <v>75</v>
      </c>
      <c r="V196" s="15" t="s">
        <v>29</v>
      </c>
      <c r="W196" s="27">
        <v>2</v>
      </c>
      <c r="X196" s="27"/>
      <c r="Y196" s="27"/>
      <c r="Z196" s="27"/>
      <c r="AA196" s="27">
        <v>1.2E-2</v>
      </c>
      <c r="AB196" s="38" t="s">
        <v>30</v>
      </c>
      <c r="AC196" s="27" t="s">
        <v>239</v>
      </c>
      <c r="AD196" s="27" t="s">
        <v>19</v>
      </c>
      <c r="AE196" s="27" t="s">
        <v>20</v>
      </c>
      <c r="AF196" s="27" t="s">
        <v>21</v>
      </c>
      <c r="AG196" s="11"/>
    </row>
    <row r="197" spans="1:33" s="12" customFormat="1" ht="21.95" hidden="1" customHeight="1">
      <c r="A197" s="31">
        <v>196</v>
      </c>
      <c r="B197" s="32">
        <v>12</v>
      </c>
      <c r="C197" s="32">
        <v>26303</v>
      </c>
      <c r="D197" s="32" t="s">
        <v>918</v>
      </c>
      <c r="E197" s="145">
        <v>433420</v>
      </c>
      <c r="F197" s="141" t="s">
        <v>684</v>
      </c>
      <c r="G197" s="21" t="str">
        <f>VLOOKUP(P197,'CO F3'!$C$2:$M$108,7,FALSE)</f>
        <v>GESTAMP</v>
      </c>
      <c r="H197" s="21" t="e">
        <f>VLOOKUP(Q197,'CO F3'!$C$2:$M$108,7,FALSE)</f>
        <v>#N/A</v>
      </c>
      <c r="I197" s="32" t="s">
        <v>697</v>
      </c>
      <c r="J197" s="33"/>
      <c r="K197" s="33" t="s">
        <v>13</v>
      </c>
      <c r="L197" s="33"/>
      <c r="M197" s="33"/>
      <c r="N197" s="33"/>
      <c r="O197" s="33"/>
      <c r="P197" s="32" t="s">
        <v>326</v>
      </c>
      <c r="Q197" s="32" t="s">
        <v>849</v>
      </c>
      <c r="R197" s="42" t="s">
        <v>849</v>
      </c>
      <c r="S197" s="42" t="s">
        <v>312</v>
      </c>
      <c r="T197" s="42" t="s">
        <v>311</v>
      </c>
      <c r="U197" s="34" t="s">
        <v>327</v>
      </c>
      <c r="V197" s="35" t="s">
        <v>41</v>
      </c>
      <c r="W197" s="34">
        <v>1</v>
      </c>
      <c r="X197" s="34"/>
      <c r="Y197" s="34"/>
      <c r="Z197" s="34"/>
      <c r="AA197" s="34">
        <v>0.26500000000000001</v>
      </c>
      <c r="AB197" s="38" t="s">
        <v>30</v>
      </c>
      <c r="AC197" s="34" t="s">
        <v>239</v>
      </c>
      <c r="AD197" s="34" t="s">
        <v>19</v>
      </c>
      <c r="AE197" s="34" t="s">
        <v>20</v>
      </c>
      <c r="AF197" s="34" t="s">
        <v>21</v>
      </c>
      <c r="AG197" s="11"/>
    </row>
    <row r="198" spans="1:33" s="12" customFormat="1" ht="21.95" hidden="1" customHeight="1">
      <c r="A198" s="16">
        <v>197</v>
      </c>
      <c r="B198" s="17">
        <v>12</v>
      </c>
      <c r="C198" s="17">
        <v>26303</v>
      </c>
      <c r="D198" s="17" t="s">
        <v>918</v>
      </c>
      <c r="E198" s="143">
        <v>433420</v>
      </c>
      <c r="F198" s="141" t="s">
        <v>684</v>
      </c>
      <c r="G198" s="21" t="e">
        <f>VLOOKUP(P198,'CO F3'!$C$2:$M$108,7,FALSE)</f>
        <v>#N/A</v>
      </c>
      <c r="H198" s="21" t="e">
        <f>VLOOKUP(Q198,'CO F3'!$C$2:$M$108,7,FALSE)</f>
        <v>#N/A</v>
      </c>
      <c r="I198" s="17" t="s">
        <v>697</v>
      </c>
      <c r="J198" s="18"/>
      <c r="K198" s="18"/>
      <c r="L198" s="18" t="s">
        <v>13</v>
      </c>
      <c r="M198" s="18"/>
      <c r="N198" s="18"/>
      <c r="O198" s="18"/>
      <c r="P198" s="17" t="s">
        <v>328</v>
      </c>
      <c r="Q198" s="17" t="s">
        <v>861</v>
      </c>
      <c r="R198" s="40" t="s">
        <v>848</v>
      </c>
      <c r="S198" s="40" t="s">
        <v>312</v>
      </c>
      <c r="T198" s="40" t="s">
        <v>326</v>
      </c>
      <c r="U198" s="19" t="s">
        <v>329</v>
      </c>
      <c r="V198" s="13" t="s">
        <v>24</v>
      </c>
      <c r="W198" s="19">
        <v>1</v>
      </c>
      <c r="X198" s="19" t="s">
        <v>330</v>
      </c>
      <c r="Y198" s="19" t="s">
        <v>194</v>
      </c>
      <c r="Z198" s="19">
        <v>1.2</v>
      </c>
      <c r="AA198" s="19">
        <v>0.22</v>
      </c>
      <c r="AB198" s="38" t="s">
        <v>30</v>
      </c>
      <c r="AC198" s="19" t="s">
        <v>239</v>
      </c>
      <c r="AD198" s="19" t="s">
        <v>19</v>
      </c>
      <c r="AE198" s="19" t="s">
        <v>20</v>
      </c>
      <c r="AF198" s="19" t="s">
        <v>21</v>
      </c>
      <c r="AG198" s="11"/>
    </row>
    <row r="199" spans="1:33" s="12" customFormat="1" ht="21.95" hidden="1" customHeight="1">
      <c r="A199" s="24">
        <v>198</v>
      </c>
      <c r="B199" s="25">
        <v>12</v>
      </c>
      <c r="C199" s="25">
        <v>26303</v>
      </c>
      <c r="D199" s="25" t="s">
        <v>918</v>
      </c>
      <c r="E199" s="144">
        <v>433420</v>
      </c>
      <c r="F199" s="141" t="s">
        <v>684</v>
      </c>
      <c r="G199" s="21" t="e">
        <f>VLOOKUP(P199,'CO F3'!$C$2:$M$108,7,FALSE)</f>
        <v>#N/A</v>
      </c>
      <c r="H199" s="21" t="e">
        <f>VLOOKUP(Q199,'CO F3'!$C$2:$M$108,7,FALSE)</f>
        <v>#N/A</v>
      </c>
      <c r="I199" s="25" t="s">
        <v>697</v>
      </c>
      <c r="J199" s="26"/>
      <c r="K199" s="26"/>
      <c r="L199" s="26" t="s">
        <v>13</v>
      </c>
      <c r="M199" s="26"/>
      <c r="N199" s="26"/>
      <c r="O199" s="26"/>
      <c r="P199" s="25">
        <v>7703042086</v>
      </c>
      <c r="Q199" s="25" t="s">
        <v>849</v>
      </c>
      <c r="R199" s="41" t="s">
        <v>849</v>
      </c>
      <c r="S199" s="41" t="s">
        <v>312</v>
      </c>
      <c r="T199" s="41" t="s">
        <v>326</v>
      </c>
      <c r="U199" s="27" t="s">
        <v>75</v>
      </c>
      <c r="V199" s="15" t="s">
        <v>29</v>
      </c>
      <c r="W199" s="27">
        <v>2</v>
      </c>
      <c r="X199" s="27"/>
      <c r="Y199" s="27"/>
      <c r="Z199" s="27"/>
      <c r="AA199" s="27">
        <v>1.2E-2</v>
      </c>
      <c r="AB199" s="38" t="s">
        <v>30</v>
      </c>
      <c r="AC199" s="27" t="s">
        <v>239</v>
      </c>
      <c r="AD199" s="27" t="s">
        <v>19</v>
      </c>
      <c r="AE199" s="27" t="s">
        <v>20</v>
      </c>
      <c r="AF199" s="27" t="s">
        <v>21</v>
      </c>
      <c r="AG199" s="11"/>
    </row>
    <row r="200" spans="1:33" s="12" customFormat="1" ht="21.95" hidden="1" customHeight="1">
      <c r="A200" s="24">
        <v>199</v>
      </c>
      <c r="B200" s="25">
        <v>12</v>
      </c>
      <c r="C200" s="25">
        <v>26303</v>
      </c>
      <c r="D200" s="25" t="s">
        <v>918</v>
      </c>
      <c r="E200" s="144">
        <v>433420</v>
      </c>
      <c r="F200" s="141" t="s">
        <v>684</v>
      </c>
      <c r="G200" s="21" t="e">
        <f>VLOOKUP(P200,'CO F3'!$C$2:$M$108,7,FALSE)</f>
        <v>#N/A</v>
      </c>
      <c r="H200" s="21" t="e">
        <f>VLOOKUP(Q200,'CO F3'!$C$2:$M$108,7,FALSE)</f>
        <v>#N/A</v>
      </c>
      <c r="I200" s="25" t="s">
        <v>697</v>
      </c>
      <c r="J200" s="26"/>
      <c r="K200" s="26"/>
      <c r="L200" s="26" t="s">
        <v>13</v>
      </c>
      <c r="M200" s="26"/>
      <c r="N200" s="26"/>
      <c r="O200" s="26"/>
      <c r="P200" s="25">
        <v>7703611016</v>
      </c>
      <c r="Q200" s="25" t="s">
        <v>849</v>
      </c>
      <c r="R200" s="41" t="s">
        <v>849</v>
      </c>
      <c r="S200" s="41" t="s">
        <v>312</v>
      </c>
      <c r="T200" s="41" t="s">
        <v>326</v>
      </c>
      <c r="U200" s="27" t="s">
        <v>331</v>
      </c>
      <c r="V200" s="15" t="s">
        <v>29</v>
      </c>
      <c r="W200" s="27">
        <v>3</v>
      </c>
      <c r="X200" s="27"/>
      <c r="Y200" s="27"/>
      <c r="Z200" s="27"/>
      <c r="AA200" s="27">
        <v>3.3000000000000002E-2</v>
      </c>
      <c r="AB200" s="38" t="s">
        <v>30</v>
      </c>
      <c r="AC200" s="27" t="s">
        <v>239</v>
      </c>
      <c r="AD200" s="27" t="s">
        <v>19</v>
      </c>
      <c r="AE200" s="27" t="s">
        <v>20</v>
      </c>
      <c r="AF200" s="27" t="s">
        <v>21</v>
      </c>
      <c r="AG200" s="11"/>
    </row>
    <row r="201" spans="1:33" s="12" customFormat="1" ht="21.95" hidden="1" customHeight="1">
      <c r="A201" s="31">
        <v>200</v>
      </c>
      <c r="B201" s="32">
        <v>12</v>
      </c>
      <c r="C201" s="32">
        <v>26303</v>
      </c>
      <c r="D201" s="32" t="s">
        <v>918</v>
      </c>
      <c r="E201" s="145"/>
      <c r="F201" s="21" t="s">
        <v>918</v>
      </c>
      <c r="G201" s="21" t="e">
        <f>VLOOKUP(P201,'CO F3'!$C$2:$M$108,7,FALSE)</f>
        <v>#N/A</v>
      </c>
      <c r="H201" s="21" t="e">
        <f>VLOOKUP(Q201,'CO F3'!$C$2:$M$108,7,FALSE)</f>
        <v>#N/A</v>
      </c>
      <c r="I201" s="32" t="s">
        <v>697</v>
      </c>
      <c r="J201" s="33"/>
      <c r="K201" s="33" t="s">
        <v>13</v>
      </c>
      <c r="L201" s="33"/>
      <c r="M201" s="33"/>
      <c r="N201" s="33"/>
      <c r="O201" s="33"/>
      <c r="P201" s="32" t="s">
        <v>332</v>
      </c>
      <c r="Q201" s="32" t="s">
        <v>849</v>
      </c>
      <c r="R201" s="42" t="s">
        <v>849</v>
      </c>
      <c r="S201" s="42" t="s">
        <v>312</v>
      </c>
      <c r="T201" s="42" t="s">
        <v>311</v>
      </c>
      <c r="U201" s="34" t="s">
        <v>333</v>
      </c>
      <c r="V201" s="35" t="s">
        <v>41</v>
      </c>
      <c r="W201" s="34"/>
      <c r="X201" s="34"/>
      <c r="Y201" s="34"/>
      <c r="Z201" s="34"/>
      <c r="AA201" s="34"/>
      <c r="AB201" s="37" t="s">
        <v>17</v>
      </c>
      <c r="AC201" s="34" t="s">
        <v>239</v>
      </c>
      <c r="AD201" s="34" t="s">
        <v>19</v>
      </c>
      <c r="AE201" s="34" t="s">
        <v>20</v>
      </c>
      <c r="AF201" s="34" t="s">
        <v>21</v>
      </c>
      <c r="AG201" s="11"/>
    </row>
    <row r="202" spans="1:33" s="12" customFormat="1" ht="21.95" hidden="1" customHeight="1">
      <c r="A202" s="31">
        <v>201</v>
      </c>
      <c r="B202" s="32">
        <v>12</v>
      </c>
      <c r="C202" s="32">
        <v>26303</v>
      </c>
      <c r="D202" s="32" t="s">
        <v>918</v>
      </c>
      <c r="E202" s="145"/>
      <c r="F202" s="21" t="s">
        <v>918</v>
      </c>
      <c r="G202" s="21" t="e">
        <f>VLOOKUP(P202,'CO F3'!$C$2:$M$108,7,FALSE)</f>
        <v>#N/A</v>
      </c>
      <c r="H202" s="21" t="e">
        <f>VLOOKUP(Q202,'CO F3'!$C$2:$M$108,7,FALSE)</f>
        <v>#N/A</v>
      </c>
      <c r="I202" s="32" t="s">
        <v>697</v>
      </c>
      <c r="J202" s="33"/>
      <c r="K202" s="33"/>
      <c r="L202" s="33" t="s">
        <v>13</v>
      </c>
      <c r="M202" s="33"/>
      <c r="N202" s="33"/>
      <c r="O202" s="33"/>
      <c r="P202" s="32" t="s">
        <v>334</v>
      </c>
      <c r="Q202" s="32" t="s">
        <v>849</v>
      </c>
      <c r="R202" s="42" t="s">
        <v>849</v>
      </c>
      <c r="S202" s="42" t="s">
        <v>312</v>
      </c>
      <c r="T202" s="42" t="s">
        <v>332</v>
      </c>
      <c r="U202" s="34" t="s">
        <v>335</v>
      </c>
      <c r="V202" s="35" t="s">
        <v>41</v>
      </c>
      <c r="W202" s="34">
        <v>1</v>
      </c>
      <c r="X202" s="34"/>
      <c r="Y202" s="34"/>
      <c r="Z202" s="34"/>
      <c r="AA202" s="34"/>
      <c r="AB202" s="37" t="s">
        <v>17</v>
      </c>
      <c r="AC202" s="34" t="s">
        <v>239</v>
      </c>
      <c r="AD202" s="34" t="s">
        <v>19</v>
      </c>
      <c r="AE202" s="34" t="s">
        <v>20</v>
      </c>
      <c r="AF202" s="34" t="s">
        <v>21</v>
      </c>
      <c r="AG202" s="11"/>
    </row>
    <row r="203" spans="1:33" s="12" customFormat="1" ht="21.95" hidden="1" customHeight="1">
      <c r="A203" s="16">
        <v>202</v>
      </c>
      <c r="B203" s="17">
        <v>12</v>
      </c>
      <c r="C203" s="17">
        <v>26303</v>
      </c>
      <c r="D203" s="17" t="s">
        <v>918</v>
      </c>
      <c r="E203" s="143"/>
      <c r="F203" s="21" t="s">
        <v>896</v>
      </c>
      <c r="G203" s="21" t="str">
        <f>VLOOKUP(P203,'CO F3'!$C$2:$M$108,7,FALSE)</f>
        <v>CURITIBA plant</v>
      </c>
      <c r="H203" s="21" t="e">
        <f>VLOOKUP(Q203,'CO F3'!$C$2:$M$108,7,FALSE)</f>
        <v>#N/A</v>
      </c>
      <c r="I203" s="17" t="s">
        <v>697</v>
      </c>
      <c r="J203" s="18"/>
      <c r="K203" s="18"/>
      <c r="L203" s="18"/>
      <c r="M203" s="18" t="s">
        <v>13</v>
      </c>
      <c r="N203" s="18"/>
      <c r="O203" s="18"/>
      <c r="P203" s="17" t="s">
        <v>336</v>
      </c>
      <c r="Q203" s="17" t="s">
        <v>864</v>
      </c>
      <c r="R203" s="40" t="s">
        <v>847</v>
      </c>
      <c r="S203" s="40" t="s">
        <v>312</v>
      </c>
      <c r="T203" s="40" t="s">
        <v>334</v>
      </c>
      <c r="U203" s="19" t="s">
        <v>337</v>
      </c>
      <c r="V203" s="13" t="s">
        <v>24</v>
      </c>
      <c r="W203" s="19">
        <v>1</v>
      </c>
      <c r="X203" s="19" t="s">
        <v>837</v>
      </c>
      <c r="Y203" s="19"/>
      <c r="Z203" s="19">
        <v>2</v>
      </c>
      <c r="AA203" s="19">
        <v>2.56</v>
      </c>
      <c r="AB203" s="38" t="s">
        <v>30</v>
      </c>
      <c r="AC203" s="19" t="s">
        <v>239</v>
      </c>
      <c r="AD203" s="19" t="s">
        <v>19</v>
      </c>
      <c r="AE203" s="19" t="s">
        <v>20</v>
      </c>
      <c r="AF203" s="19" t="s">
        <v>21</v>
      </c>
      <c r="AG203" s="11"/>
    </row>
    <row r="204" spans="1:33" s="12" customFormat="1" ht="21.95" hidden="1" customHeight="1">
      <c r="A204" s="16">
        <v>203</v>
      </c>
      <c r="B204" s="17">
        <v>12</v>
      </c>
      <c r="C204" s="17">
        <v>26303</v>
      </c>
      <c r="D204" s="17" t="s">
        <v>918</v>
      </c>
      <c r="E204" s="143">
        <v>433420</v>
      </c>
      <c r="F204" s="141" t="s">
        <v>684</v>
      </c>
      <c r="G204" s="21" t="str">
        <f>VLOOKUP(P204,'CO F3'!$C$2:$M$108,7,FALSE)</f>
        <v>SC SILDVB COM SA</v>
      </c>
      <c r="H204" s="21" t="e">
        <f>VLOOKUP(Q204,'CO F3'!$C$2:$M$108,7,FALSE)</f>
        <v>#N/A</v>
      </c>
      <c r="I204" s="17" t="s">
        <v>697</v>
      </c>
      <c r="J204" s="18"/>
      <c r="K204" s="18"/>
      <c r="L204" s="18"/>
      <c r="M204" s="18" t="s">
        <v>13</v>
      </c>
      <c r="N204" s="18"/>
      <c r="O204" s="18"/>
      <c r="P204" s="17" t="s">
        <v>338</v>
      </c>
      <c r="Q204" s="17" t="s">
        <v>864</v>
      </c>
      <c r="R204" s="40" t="s">
        <v>847</v>
      </c>
      <c r="S204" s="40" t="s">
        <v>312</v>
      </c>
      <c r="T204" s="40" t="s">
        <v>334</v>
      </c>
      <c r="U204" s="19" t="s">
        <v>339</v>
      </c>
      <c r="V204" s="13" t="s">
        <v>24</v>
      </c>
      <c r="W204" s="19">
        <v>1</v>
      </c>
      <c r="X204" s="118" t="s">
        <v>340</v>
      </c>
      <c r="Y204" s="19"/>
      <c r="Z204" s="19">
        <v>2</v>
      </c>
      <c r="AA204" s="19">
        <v>0.3</v>
      </c>
      <c r="AB204" s="38" t="s">
        <v>30</v>
      </c>
      <c r="AC204" s="19" t="s">
        <v>239</v>
      </c>
      <c r="AD204" s="19" t="s">
        <v>19</v>
      </c>
      <c r="AE204" s="19" t="s">
        <v>20</v>
      </c>
      <c r="AF204" s="19" t="s">
        <v>21</v>
      </c>
      <c r="AG204" s="11"/>
    </row>
    <row r="205" spans="1:33" s="12" customFormat="1" ht="21.95" hidden="1" customHeight="1">
      <c r="A205" s="16">
        <v>204</v>
      </c>
      <c r="B205" s="17">
        <v>12</v>
      </c>
      <c r="C205" s="17">
        <v>26303</v>
      </c>
      <c r="D205" s="17" t="s">
        <v>918</v>
      </c>
      <c r="E205" s="143"/>
      <c r="F205" s="21" t="s">
        <v>879</v>
      </c>
      <c r="G205" s="21" t="str">
        <f>VLOOKUP(P205,'CO F3'!$C$2:$M$108,7,FALSE)</f>
        <v xml:space="preserve">TOWER AUTOMOTIVE </v>
      </c>
      <c r="H205" s="21" t="e">
        <f>VLOOKUP(Q205,'CO F3'!$C$2:$M$108,7,FALSE)</f>
        <v>#N/A</v>
      </c>
      <c r="I205" s="17" t="s">
        <v>697</v>
      </c>
      <c r="J205" s="18"/>
      <c r="K205" s="18"/>
      <c r="L205" s="18"/>
      <c r="M205" s="18" t="s">
        <v>13</v>
      </c>
      <c r="N205" s="18"/>
      <c r="O205" s="18"/>
      <c r="P205" s="17" t="s">
        <v>341</v>
      </c>
      <c r="Q205" s="17" t="s">
        <v>861</v>
      </c>
      <c r="R205" s="40" t="s">
        <v>847</v>
      </c>
      <c r="S205" s="40" t="s">
        <v>312</v>
      </c>
      <c r="T205" s="40" t="s">
        <v>334</v>
      </c>
      <c r="U205" s="19" t="s">
        <v>342</v>
      </c>
      <c r="V205" s="13" t="s">
        <v>24</v>
      </c>
      <c r="W205" s="19">
        <v>1</v>
      </c>
      <c r="X205" s="19" t="s">
        <v>837</v>
      </c>
      <c r="Y205" s="19"/>
      <c r="Z205" s="19">
        <v>3</v>
      </c>
      <c r="AA205" s="19">
        <v>0.89600000000000002</v>
      </c>
      <c r="AB205" s="38" t="s">
        <v>30</v>
      </c>
      <c r="AC205" s="19" t="s">
        <v>239</v>
      </c>
      <c r="AD205" s="19" t="s">
        <v>19</v>
      </c>
      <c r="AE205" s="19" t="s">
        <v>20</v>
      </c>
      <c r="AF205" s="19" t="s">
        <v>21</v>
      </c>
      <c r="AG205" s="11"/>
    </row>
    <row r="206" spans="1:33" s="12" customFormat="1" ht="21.95" hidden="1" customHeight="1">
      <c r="A206" s="31">
        <v>205</v>
      </c>
      <c r="B206" s="32">
        <v>12</v>
      </c>
      <c r="C206" s="32">
        <v>26303</v>
      </c>
      <c r="D206" s="32" t="s">
        <v>918</v>
      </c>
      <c r="E206" s="145"/>
      <c r="F206" s="21" t="s">
        <v>878</v>
      </c>
      <c r="G206" s="21" t="str">
        <f>VLOOKUP(P206,'CO F3'!$C$2:$M$108,7,FALSE)</f>
        <v>POLISTAMPO INDUSTRIA METALUR Brasil</v>
      </c>
      <c r="H206" s="21" t="e">
        <f>VLOOKUP(Q206,'CO F3'!$C$2:$M$108,7,FALSE)</f>
        <v>#N/A</v>
      </c>
      <c r="I206" s="32" t="s">
        <v>697</v>
      </c>
      <c r="J206" s="33"/>
      <c r="K206" s="33"/>
      <c r="L206" s="33" t="s">
        <v>13</v>
      </c>
      <c r="M206" s="33"/>
      <c r="N206" s="33"/>
      <c r="O206" s="33"/>
      <c r="P206" s="32" t="s">
        <v>343</v>
      </c>
      <c r="Q206" s="32" t="s">
        <v>849</v>
      </c>
      <c r="R206" s="42" t="s">
        <v>849</v>
      </c>
      <c r="S206" s="42" t="s">
        <v>312</v>
      </c>
      <c r="T206" s="42" t="s">
        <v>332</v>
      </c>
      <c r="U206" s="34" t="s">
        <v>344</v>
      </c>
      <c r="V206" s="35" t="s">
        <v>41</v>
      </c>
      <c r="W206" s="34">
        <v>1</v>
      </c>
      <c r="X206" s="34"/>
      <c r="Y206" s="34"/>
      <c r="Z206" s="34"/>
      <c r="AA206" s="34">
        <v>0.97599999999999998</v>
      </c>
      <c r="AB206" s="38" t="s">
        <v>30</v>
      </c>
      <c r="AC206" s="34" t="s">
        <v>239</v>
      </c>
      <c r="AD206" s="34" t="s">
        <v>19</v>
      </c>
      <c r="AE206" s="34" t="s">
        <v>20</v>
      </c>
      <c r="AF206" s="34" t="s">
        <v>21</v>
      </c>
      <c r="AG206" s="11"/>
    </row>
    <row r="207" spans="1:33" s="12" customFormat="1" ht="21.95" hidden="1" customHeight="1">
      <c r="A207" s="16">
        <v>206</v>
      </c>
      <c r="B207" s="17">
        <v>12</v>
      </c>
      <c r="C207" s="17">
        <v>26303</v>
      </c>
      <c r="D207" s="17" t="s">
        <v>918</v>
      </c>
      <c r="E207" s="143"/>
      <c r="F207" s="21" t="s">
        <v>878</v>
      </c>
      <c r="G207" s="21" t="e">
        <f>VLOOKUP(P207,'CO F3'!$C$2:$M$108,7,FALSE)</f>
        <v>#N/A</v>
      </c>
      <c r="H207" s="21" t="e">
        <f>VLOOKUP(Q207,'CO F3'!$C$2:$M$108,7,FALSE)</f>
        <v>#N/A</v>
      </c>
      <c r="I207" s="17" t="s">
        <v>697</v>
      </c>
      <c r="J207" s="18"/>
      <c r="K207" s="18"/>
      <c r="L207" s="18"/>
      <c r="M207" s="18" t="s">
        <v>13</v>
      </c>
      <c r="N207" s="18"/>
      <c r="O207" s="18"/>
      <c r="P207" s="17" t="s">
        <v>345</v>
      </c>
      <c r="Q207" s="17" t="s">
        <v>861</v>
      </c>
      <c r="R207" s="40" t="s">
        <v>847</v>
      </c>
      <c r="S207" s="40" t="s">
        <v>312</v>
      </c>
      <c r="T207" s="40" t="s">
        <v>343</v>
      </c>
      <c r="U207" s="19" t="s">
        <v>346</v>
      </c>
      <c r="V207" s="13" t="s">
        <v>24</v>
      </c>
      <c r="W207" s="19">
        <v>1</v>
      </c>
      <c r="X207" s="19" t="s">
        <v>25</v>
      </c>
      <c r="Y207" s="19" t="s">
        <v>134</v>
      </c>
      <c r="Z207" s="19">
        <v>1.5</v>
      </c>
      <c r="AA207" s="19">
        <v>8.5999999999999993E-2</v>
      </c>
      <c r="AB207" s="38" t="s">
        <v>30</v>
      </c>
      <c r="AC207" s="19" t="s">
        <v>239</v>
      </c>
      <c r="AD207" s="19" t="s">
        <v>19</v>
      </c>
      <c r="AE207" s="19" t="s">
        <v>20</v>
      </c>
      <c r="AF207" s="19" t="s">
        <v>21</v>
      </c>
      <c r="AG207" s="11"/>
    </row>
    <row r="208" spans="1:33" s="12" customFormat="1" ht="21.95" hidden="1" customHeight="1">
      <c r="A208" s="16">
        <v>207</v>
      </c>
      <c r="B208" s="17">
        <v>12</v>
      </c>
      <c r="C208" s="17">
        <v>26303</v>
      </c>
      <c r="D208" s="17" t="s">
        <v>918</v>
      </c>
      <c r="E208" s="143"/>
      <c r="F208" s="21" t="s">
        <v>878</v>
      </c>
      <c r="G208" s="21" t="e">
        <f>VLOOKUP(P208,'CO F3'!$C$2:$M$108,7,FALSE)</f>
        <v>#N/A</v>
      </c>
      <c r="H208" s="21" t="e">
        <f>VLOOKUP(Q208,'CO F3'!$C$2:$M$108,7,FALSE)</f>
        <v>#N/A</v>
      </c>
      <c r="I208" s="17" t="s">
        <v>697</v>
      </c>
      <c r="J208" s="18"/>
      <c r="K208" s="18"/>
      <c r="L208" s="18"/>
      <c r="M208" s="18" t="s">
        <v>13</v>
      </c>
      <c r="N208" s="18"/>
      <c r="O208" s="18"/>
      <c r="P208" s="17" t="s">
        <v>347</v>
      </c>
      <c r="Q208" s="17" t="s">
        <v>861</v>
      </c>
      <c r="R208" s="40" t="s">
        <v>848</v>
      </c>
      <c r="S208" s="40" t="s">
        <v>312</v>
      </c>
      <c r="T208" s="40" t="s">
        <v>343</v>
      </c>
      <c r="U208" s="19" t="s">
        <v>348</v>
      </c>
      <c r="V208" s="13" t="s">
        <v>24</v>
      </c>
      <c r="W208" s="19">
        <v>1</v>
      </c>
      <c r="X208" s="19" t="s">
        <v>141</v>
      </c>
      <c r="Y208" s="19" t="s">
        <v>134</v>
      </c>
      <c r="Z208" s="19">
        <v>1.2</v>
      </c>
      <c r="AA208" s="19">
        <v>0.60299999999999998</v>
      </c>
      <c r="AB208" s="38" t="s">
        <v>30</v>
      </c>
      <c r="AC208" s="19" t="s">
        <v>239</v>
      </c>
      <c r="AD208" s="19" t="s">
        <v>19</v>
      </c>
      <c r="AE208" s="19" t="s">
        <v>20</v>
      </c>
      <c r="AF208" s="19" t="s">
        <v>21</v>
      </c>
      <c r="AG208" s="11"/>
    </row>
    <row r="209" spans="1:33" s="12" customFormat="1" ht="21.95" hidden="1" customHeight="1">
      <c r="A209" s="31">
        <v>208</v>
      </c>
      <c r="B209" s="32">
        <v>12</v>
      </c>
      <c r="C209" s="32">
        <v>26303</v>
      </c>
      <c r="D209" s="32" t="s">
        <v>918</v>
      </c>
      <c r="E209" s="145"/>
      <c r="F209" s="21" t="s">
        <v>878</v>
      </c>
      <c r="G209" s="21" t="e">
        <f>VLOOKUP(P209,'CO F3'!$C$2:$M$108,7,FALSE)</f>
        <v>#N/A</v>
      </c>
      <c r="H209" s="21" t="e">
        <f>VLOOKUP(Q209,'CO F3'!$C$2:$M$108,7,FALSE)</f>
        <v>#N/A</v>
      </c>
      <c r="I209" s="32" t="s">
        <v>697</v>
      </c>
      <c r="J209" s="33"/>
      <c r="K209" s="33"/>
      <c r="L209" s="33"/>
      <c r="M209" s="33" t="s">
        <v>13</v>
      </c>
      <c r="N209" s="33"/>
      <c r="O209" s="33"/>
      <c r="P209" s="133"/>
      <c r="Q209" s="32" t="s">
        <v>849</v>
      </c>
      <c r="R209" s="42" t="s">
        <v>849</v>
      </c>
      <c r="S209" s="42" t="s">
        <v>312</v>
      </c>
      <c r="T209" s="42" t="s">
        <v>343</v>
      </c>
      <c r="U209" s="34" t="s">
        <v>349</v>
      </c>
      <c r="V209" s="35" t="s">
        <v>41</v>
      </c>
      <c r="W209" s="34">
        <v>1</v>
      </c>
      <c r="X209" s="34"/>
      <c r="Y209" s="34"/>
      <c r="Z209" s="34"/>
      <c r="AA209" s="34"/>
      <c r="AB209" s="38" t="s">
        <v>30</v>
      </c>
      <c r="AC209" s="34" t="s">
        <v>239</v>
      </c>
      <c r="AD209" s="34" t="s">
        <v>19</v>
      </c>
      <c r="AE209" s="34" t="s">
        <v>20</v>
      </c>
      <c r="AF209" s="34" t="s">
        <v>21</v>
      </c>
      <c r="AG209" s="11"/>
    </row>
    <row r="210" spans="1:33" s="12" customFormat="1" ht="21.95" hidden="1" customHeight="1">
      <c r="A210" s="16">
        <v>209</v>
      </c>
      <c r="B210" s="17">
        <v>12</v>
      </c>
      <c r="C210" s="17">
        <v>26303</v>
      </c>
      <c r="D210" s="17" t="s">
        <v>918</v>
      </c>
      <c r="E210" s="143"/>
      <c r="F210" s="21" t="s">
        <v>878</v>
      </c>
      <c r="G210" s="21" t="e">
        <f>VLOOKUP(P210,'CO F3'!$C$2:$M$108,7,FALSE)</f>
        <v>#N/A</v>
      </c>
      <c r="H210" s="21" t="e">
        <f>VLOOKUP(Q210,'CO F3'!$C$2:$M$108,7,FALSE)</f>
        <v>#N/A</v>
      </c>
      <c r="I210" s="17" t="s">
        <v>697</v>
      </c>
      <c r="J210" s="18"/>
      <c r="K210" s="18"/>
      <c r="L210" s="18"/>
      <c r="M210" s="18"/>
      <c r="N210" s="18" t="s">
        <v>13</v>
      </c>
      <c r="O210" s="18"/>
      <c r="P210" s="17" t="s">
        <v>350</v>
      </c>
      <c r="Q210" s="17" t="s">
        <v>861</v>
      </c>
      <c r="R210" s="40" t="s">
        <v>847</v>
      </c>
      <c r="S210" s="40" t="s">
        <v>312</v>
      </c>
      <c r="T210" s="138"/>
      <c r="U210" s="19" t="s">
        <v>351</v>
      </c>
      <c r="V210" s="13" t="s">
        <v>24</v>
      </c>
      <c r="W210" s="19">
        <v>1</v>
      </c>
      <c r="X210" s="19" t="s">
        <v>838</v>
      </c>
      <c r="Y210" s="19"/>
      <c r="Z210" s="19">
        <v>3</v>
      </c>
      <c r="AA210" s="19">
        <v>0.26400000000000001</v>
      </c>
      <c r="AB210" s="38" t="s">
        <v>30</v>
      </c>
      <c r="AC210" s="19" t="s">
        <v>239</v>
      </c>
      <c r="AD210" s="19" t="s">
        <v>19</v>
      </c>
      <c r="AE210" s="19" t="s">
        <v>20</v>
      </c>
      <c r="AF210" s="19" t="s">
        <v>21</v>
      </c>
      <c r="AG210" s="11"/>
    </row>
    <row r="211" spans="1:33" s="12" customFormat="1" ht="21.95" hidden="1" customHeight="1">
      <c r="A211" s="24">
        <v>210</v>
      </c>
      <c r="B211" s="25">
        <v>12</v>
      </c>
      <c r="C211" s="25">
        <v>26303</v>
      </c>
      <c r="D211" s="25" t="s">
        <v>918</v>
      </c>
      <c r="E211" s="144"/>
      <c r="F211" s="21" t="s">
        <v>878</v>
      </c>
      <c r="G211" s="21" t="e">
        <f>VLOOKUP(P211,'CO F3'!$C$2:$M$108,7,FALSE)</f>
        <v>#N/A</v>
      </c>
      <c r="H211" s="21" t="e">
        <f>VLOOKUP(Q211,'CO F3'!$C$2:$M$108,7,FALSE)</f>
        <v>#N/A</v>
      </c>
      <c r="I211" s="25" t="s">
        <v>697</v>
      </c>
      <c r="J211" s="26"/>
      <c r="K211" s="26"/>
      <c r="L211" s="26"/>
      <c r="M211" s="26"/>
      <c r="N211" s="26" t="s">
        <v>13</v>
      </c>
      <c r="O211" s="26"/>
      <c r="P211" s="25">
        <v>7703042070</v>
      </c>
      <c r="Q211" s="25" t="s">
        <v>849</v>
      </c>
      <c r="R211" s="41" t="s">
        <v>849</v>
      </c>
      <c r="S211" s="41" t="s">
        <v>312</v>
      </c>
      <c r="T211" s="138"/>
      <c r="U211" s="27" t="s">
        <v>282</v>
      </c>
      <c r="V211" s="15" t="s">
        <v>29</v>
      </c>
      <c r="W211" s="27">
        <v>1</v>
      </c>
      <c r="X211" s="27"/>
      <c r="Y211" s="27"/>
      <c r="Z211" s="27"/>
      <c r="AA211" s="27">
        <v>2.3E-2</v>
      </c>
      <c r="AB211" s="38" t="s">
        <v>30</v>
      </c>
      <c r="AC211" s="27" t="s">
        <v>239</v>
      </c>
      <c r="AD211" s="27" t="s">
        <v>19</v>
      </c>
      <c r="AE211" s="27" t="s">
        <v>20</v>
      </c>
      <c r="AF211" s="27" t="s">
        <v>21</v>
      </c>
      <c r="AG211" s="11"/>
    </row>
    <row r="212" spans="1:33" s="12" customFormat="1" ht="21.95" hidden="1" customHeight="1">
      <c r="A212" s="31">
        <v>211</v>
      </c>
      <c r="B212" s="32">
        <v>12</v>
      </c>
      <c r="C212" s="32">
        <v>26303</v>
      </c>
      <c r="D212" s="32" t="s">
        <v>918</v>
      </c>
      <c r="E212" s="145"/>
      <c r="F212" s="21" t="s">
        <v>890</v>
      </c>
      <c r="G212" s="21" t="str">
        <f>VLOOKUP(P212,'CO F3'!$C$2:$M$108,7,FALSE)</f>
        <v>SC GIC NOSAG METAL SRL</v>
      </c>
      <c r="H212" s="21" t="e">
        <f>VLOOKUP(Q212,'CO F3'!$C$2:$M$108,7,FALSE)</f>
        <v>#N/A</v>
      </c>
      <c r="I212" s="32" t="s">
        <v>697</v>
      </c>
      <c r="J212" s="33"/>
      <c r="K212" s="33"/>
      <c r="L212" s="33" t="s">
        <v>13</v>
      </c>
      <c r="M212" s="33"/>
      <c r="N212" s="33"/>
      <c r="O212" s="33"/>
      <c r="P212" s="32" t="s">
        <v>352</v>
      </c>
      <c r="Q212" s="32" t="s">
        <v>849</v>
      </c>
      <c r="R212" s="42" t="s">
        <v>849</v>
      </c>
      <c r="S212" s="42" t="s">
        <v>312</v>
      </c>
      <c r="T212" s="42" t="s">
        <v>332</v>
      </c>
      <c r="U212" s="34" t="s">
        <v>353</v>
      </c>
      <c r="V212" s="35" t="s">
        <v>41</v>
      </c>
      <c r="W212" s="34">
        <v>1</v>
      </c>
      <c r="X212" s="34"/>
      <c r="Y212" s="34"/>
      <c r="Z212" s="34"/>
      <c r="AA212" s="34"/>
      <c r="AB212" s="38" t="s">
        <v>30</v>
      </c>
      <c r="AC212" s="34" t="s">
        <v>239</v>
      </c>
      <c r="AD212" s="34" t="s">
        <v>19</v>
      </c>
      <c r="AE212" s="34" t="s">
        <v>20</v>
      </c>
      <c r="AF212" s="34" t="s">
        <v>21</v>
      </c>
      <c r="AG212" s="11"/>
    </row>
    <row r="213" spans="1:33" s="12" customFormat="1" ht="21.95" hidden="1" customHeight="1">
      <c r="A213" s="16">
        <v>212</v>
      </c>
      <c r="B213" s="17">
        <v>12</v>
      </c>
      <c r="C213" s="17">
        <v>26303</v>
      </c>
      <c r="D213" s="17" t="s">
        <v>918</v>
      </c>
      <c r="E213" s="143"/>
      <c r="F213" s="21" t="s">
        <v>890</v>
      </c>
      <c r="G213" s="21" t="e">
        <f>VLOOKUP(P213,'CO F3'!$C$2:$M$108,7,FALSE)</f>
        <v>#N/A</v>
      </c>
      <c r="H213" s="21" t="e">
        <f>VLOOKUP(Q213,'CO F3'!$C$2:$M$108,7,FALSE)</f>
        <v>#N/A</v>
      </c>
      <c r="I213" s="17" t="s">
        <v>697</v>
      </c>
      <c r="J213" s="18"/>
      <c r="K213" s="18"/>
      <c r="L213" s="18"/>
      <c r="M213" s="18" t="s">
        <v>13</v>
      </c>
      <c r="N213" s="18"/>
      <c r="O213" s="18"/>
      <c r="P213" s="17" t="s">
        <v>354</v>
      </c>
      <c r="Q213" s="17" t="s">
        <v>869</v>
      </c>
      <c r="R213" s="40" t="s">
        <v>847</v>
      </c>
      <c r="S213" s="40" t="s">
        <v>312</v>
      </c>
      <c r="T213" s="40" t="s">
        <v>352</v>
      </c>
      <c r="U213" s="19" t="s">
        <v>355</v>
      </c>
      <c r="V213" s="13" t="s">
        <v>24</v>
      </c>
      <c r="W213" s="19">
        <v>1</v>
      </c>
      <c r="X213" s="19" t="s">
        <v>25</v>
      </c>
      <c r="Y213" s="19"/>
      <c r="Z213" s="19">
        <v>1.5</v>
      </c>
      <c r="AA213" s="19">
        <v>0.108</v>
      </c>
      <c r="AB213" s="38" t="s">
        <v>30</v>
      </c>
      <c r="AC213" s="19" t="s">
        <v>239</v>
      </c>
      <c r="AD213" s="19" t="s">
        <v>19</v>
      </c>
      <c r="AE213" s="19" t="s">
        <v>20</v>
      </c>
      <c r="AF213" s="19" t="s">
        <v>21</v>
      </c>
      <c r="AG213" s="11"/>
    </row>
    <row r="214" spans="1:33" s="12" customFormat="1" ht="21.95" hidden="1" customHeight="1">
      <c r="A214" s="24">
        <v>213</v>
      </c>
      <c r="B214" s="25">
        <v>12</v>
      </c>
      <c r="C214" s="25">
        <v>26303</v>
      </c>
      <c r="D214" s="25" t="s">
        <v>918</v>
      </c>
      <c r="E214" s="144"/>
      <c r="F214" s="21" t="s">
        <v>890</v>
      </c>
      <c r="G214" s="21" t="e">
        <f>VLOOKUP(P214,'CO F3'!$C$2:$M$108,7,FALSE)</f>
        <v>#N/A</v>
      </c>
      <c r="H214" s="21" t="e">
        <f>VLOOKUP(Q214,'CO F3'!$C$2:$M$108,7,FALSE)</f>
        <v>#N/A</v>
      </c>
      <c r="I214" s="25" t="s">
        <v>697</v>
      </c>
      <c r="J214" s="26"/>
      <c r="K214" s="26"/>
      <c r="L214" s="26"/>
      <c r="M214" s="26" t="s">
        <v>13</v>
      </c>
      <c r="N214" s="26"/>
      <c r="O214" s="26"/>
      <c r="P214" s="25">
        <v>7703042086</v>
      </c>
      <c r="Q214" s="25" t="s">
        <v>849</v>
      </c>
      <c r="R214" s="41" t="s">
        <v>849</v>
      </c>
      <c r="S214" s="41" t="s">
        <v>312</v>
      </c>
      <c r="T214" s="41" t="s">
        <v>352</v>
      </c>
      <c r="U214" s="27" t="s">
        <v>75</v>
      </c>
      <c r="V214" s="15" t="s">
        <v>29</v>
      </c>
      <c r="W214" s="27">
        <v>1</v>
      </c>
      <c r="X214" s="27"/>
      <c r="Y214" s="27"/>
      <c r="Z214" s="27"/>
      <c r="AA214" s="27">
        <v>6.0000000000000001E-3</v>
      </c>
      <c r="AB214" s="38" t="s">
        <v>30</v>
      </c>
      <c r="AC214" s="27" t="s">
        <v>239</v>
      </c>
      <c r="AD214" s="27" t="s">
        <v>19</v>
      </c>
      <c r="AE214" s="27" t="s">
        <v>20</v>
      </c>
      <c r="AF214" s="27" t="s">
        <v>21</v>
      </c>
      <c r="AG214" s="11"/>
    </row>
    <row r="215" spans="1:33" s="12" customFormat="1" ht="21.95" hidden="1" customHeight="1">
      <c r="A215" s="24">
        <v>214</v>
      </c>
      <c r="B215" s="25">
        <v>12</v>
      </c>
      <c r="C215" s="25">
        <v>26303</v>
      </c>
      <c r="D215" s="25" t="s">
        <v>918</v>
      </c>
      <c r="E215" s="144"/>
      <c r="F215" s="21" t="s">
        <v>917</v>
      </c>
      <c r="G215" s="21" t="e">
        <f>VLOOKUP(P215,'CO F3'!$C$2:$M$108,7,FALSE)</f>
        <v>#N/A</v>
      </c>
      <c r="H215" s="21" t="e">
        <f>VLOOKUP(Q215,'CO F3'!$C$2:$M$108,7,FALSE)</f>
        <v>#N/A</v>
      </c>
      <c r="I215" s="25" t="s">
        <v>697</v>
      </c>
      <c r="J215" s="26"/>
      <c r="K215" s="26"/>
      <c r="L215" s="26" t="s">
        <v>13</v>
      </c>
      <c r="M215" s="26"/>
      <c r="N215" s="26"/>
      <c r="O215" s="26"/>
      <c r="P215" s="25">
        <v>7703072426</v>
      </c>
      <c r="Q215" s="25" t="s">
        <v>849</v>
      </c>
      <c r="R215" s="41" t="s">
        <v>849</v>
      </c>
      <c r="S215" s="41" t="s">
        <v>312</v>
      </c>
      <c r="T215" s="41" t="s">
        <v>332</v>
      </c>
      <c r="U215" s="27" t="s">
        <v>57</v>
      </c>
      <c r="V215" s="15" t="s">
        <v>29</v>
      </c>
      <c r="W215" s="27">
        <v>2</v>
      </c>
      <c r="X215" s="27"/>
      <c r="Y215" s="27"/>
      <c r="Z215" s="27"/>
      <c r="AA215" s="27">
        <v>1.4E-2</v>
      </c>
      <c r="AB215" s="38" t="s">
        <v>30</v>
      </c>
      <c r="AC215" s="27" t="s">
        <v>239</v>
      </c>
      <c r="AD215" s="27" t="s">
        <v>19</v>
      </c>
      <c r="AE215" s="27" t="s">
        <v>20</v>
      </c>
      <c r="AF215" s="27" t="s">
        <v>21</v>
      </c>
      <c r="AG215" s="11"/>
    </row>
    <row r="216" spans="1:33" s="12" customFormat="1" ht="21.95" hidden="1" customHeight="1">
      <c r="A216" s="31">
        <v>215</v>
      </c>
      <c r="B216" s="32">
        <v>12</v>
      </c>
      <c r="C216" s="32">
        <v>26303</v>
      </c>
      <c r="D216" s="32" t="s">
        <v>918</v>
      </c>
      <c r="E216" s="145">
        <v>620596</v>
      </c>
      <c r="F216" s="21" t="s">
        <v>684</v>
      </c>
      <c r="G216" s="21" t="str">
        <f>VLOOKUP(P216,'CO F3'!$C$2:$M$108,7,FALSE)</f>
        <v xml:space="preserve">GESTAMP </v>
      </c>
      <c r="H216" s="21" t="e">
        <f>VLOOKUP(Q216,'CO F3'!$C$2:$M$108,7,FALSE)</f>
        <v>#N/A</v>
      </c>
      <c r="I216" s="32" t="s">
        <v>697</v>
      </c>
      <c r="J216" s="33"/>
      <c r="K216" s="33"/>
      <c r="L216" s="33" t="s">
        <v>13</v>
      </c>
      <c r="M216" s="33"/>
      <c r="N216" s="33"/>
      <c r="O216" s="33"/>
      <c r="P216" s="32" t="s">
        <v>356</v>
      </c>
      <c r="Q216" s="32" t="s">
        <v>849</v>
      </c>
      <c r="R216" s="42" t="s">
        <v>849</v>
      </c>
      <c r="S216" s="42" t="s">
        <v>312</v>
      </c>
      <c r="T216" s="42" t="s">
        <v>332</v>
      </c>
      <c r="U216" s="34" t="s">
        <v>357</v>
      </c>
      <c r="V216" s="35" t="s">
        <v>41</v>
      </c>
      <c r="W216" s="34">
        <v>1</v>
      </c>
      <c r="X216" s="34"/>
      <c r="Y216" s="34"/>
      <c r="Z216" s="34"/>
      <c r="AA216" s="34"/>
      <c r="AB216" s="38" t="s">
        <v>30</v>
      </c>
      <c r="AC216" s="34" t="s">
        <v>239</v>
      </c>
      <c r="AD216" s="34" t="s">
        <v>19</v>
      </c>
      <c r="AE216" s="34" t="s">
        <v>20</v>
      </c>
      <c r="AF216" s="34" t="s">
        <v>21</v>
      </c>
      <c r="AG216" s="11"/>
    </row>
    <row r="217" spans="1:33" s="12" customFormat="1" ht="21.95" hidden="1" customHeight="1">
      <c r="A217" s="16">
        <v>216</v>
      </c>
      <c r="B217" s="17">
        <v>12</v>
      </c>
      <c r="C217" s="17">
        <v>26303</v>
      </c>
      <c r="D217" s="17" t="s">
        <v>918</v>
      </c>
      <c r="E217" s="143">
        <v>620596</v>
      </c>
      <c r="F217" s="21" t="s">
        <v>684</v>
      </c>
      <c r="G217" s="21" t="e">
        <f>VLOOKUP(P217,'CO F3'!$C$2:$M$108,7,FALSE)</f>
        <v>#N/A</v>
      </c>
      <c r="H217" s="21" t="e">
        <f>VLOOKUP(Q217,'CO F3'!$C$2:$M$108,7,FALSE)</f>
        <v>#N/A</v>
      </c>
      <c r="I217" s="17" t="s">
        <v>697</v>
      </c>
      <c r="J217" s="18"/>
      <c r="K217" s="18"/>
      <c r="L217" s="18"/>
      <c r="M217" s="18" t="s">
        <v>13</v>
      </c>
      <c r="N217" s="18"/>
      <c r="O217" s="18"/>
      <c r="P217" s="17" t="s">
        <v>358</v>
      </c>
      <c r="Q217" s="17" t="s">
        <v>861</v>
      </c>
      <c r="R217" s="40" t="s">
        <v>852</v>
      </c>
      <c r="S217" s="40" t="s">
        <v>312</v>
      </c>
      <c r="T217" s="40" t="s">
        <v>356</v>
      </c>
      <c r="U217" s="19" t="s">
        <v>359</v>
      </c>
      <c r="V217" s="13" t="s">
        <v>24</v>
      </c>
      <c r="W217" s="19">
        <v>1</v>
      </c>
      <c r="X217" s="19" t="s">
        <v>141</v>
      </c>
      <c r="Y217" s="19"/>
      <c r="Z217" s="19">
        <v>1.6</v>
      </c>
      <c r="AA217" s="19">
        <v>0.32</v>
      </c>
      <c r="AB217" s="38" t="s">
        <v>30</v>
      </c>
      <c r="AC217" s="19" t="s">
        <v>239</v>
      </c>
      <c r="AD217" s="19" t="s">
        <v>19</v>
      </c>
      <c r="AE217" s="19" t="s">
        <v>20</v>
      </c>
      <c r="AF217" s="19" t="s">
        <v>21</v>
      </c>
      <c r="AG217" s="11"/>
    </row>
    <row r="218" spans="1:33" s="12" customFormat="1" ht="21.95" hidden="1" customHeight="1">
      <c r="A218" s="31">
        <v>217</v>
      </c>
      <c r="B218" s="32">
        <v>12</v>
      </c>
      <c r="C218" s="32">
        <v>26303</v>
      </c>
      <c r="D218" s="32" t="s">
        <v>918</v>
      </c>
      <c r="E218" s="145">
        <v>620596</v>
      </c>
      <c r="F218" s="21" t="s">
        <v>684</v>
      </c>
      <c r="G218" s="21" t="e">
        <f>VLOOKUP(P218,'CO F3'!$C$2:$M$108,7,FALSE)</f>
        <v>#N/A</v>
      </c>
      <c r="H218" s="21" t="e">
        <f>VLOOKUP(Q218,'CO F3'!$C$2:$M$108,7,FALSE)</f>
        <v>#N/A</v>
      </c>
      <c r="I218" s="32" t="s">
        <v>697</v>
      </c>
      <c r="J218" s="33"/>
      <c r="K218" s="33"/>
      <c r="L218" s="33"/>
      <c r="M218" s="33" t="s">
        <v>13</v>
      </c>
      <c r="N218" s="33"/>
      <c r="O218" s="33"/>
      <c r="P218" s="32" t="s">
        <v>360</v>
      </c>
      <c r="Q218" s="32" t="s">
        <v>849</v>
      </c>
      <c r="R218" s="42" t="s">
        <v>849</v>
      </c>
      <c r="S218" s="42" t="s">
        <v>312</v>
      </c>
      <c r="T218" s="42" t="s">
        <v>356</v>
      </c>
      <c r="U218" s="34" t="s">
        <v>361</v>
      </c>
      <c r="V218" s="35" t="s">
        <v>41</v>
      </c>
      <c r="W218" s="34">
        <v>1</v>
      </c>
      <c r="X218" s="34"/>
      <c r="Y218" s="34"/>
      <c r="Z218" s="34"/>
      <c r="AA218" s="34"/>
      <c r="AB218" s="38" t="s">
        <v>30</v>
      </c>
      <c r="AC218" s="34" t="s">
        <v>239</v>
      </c>
      <c r="AD218" s="34" t="s">
        <v>19</v>
      </c>
      <c r="AE218" s="34" t="s">
        <v>20</v>
      </c>
      <c r="AF218" s="34" t="s">
        <v>21</v>
      </c>
      <c r="AG218" s="11"/>
    </row>
    <row r="219" spans="1:33" s="12" customFormat="1" ht="21.95" hidden="1" customHeight="1">
      <c r="A219" s="16">
        <v>218</v>
      </c>
      <c r="B219" s="17">
        <v>12</v>
      </c>
      <c r="C219" s="17">
        <v>26303</v>
      </c>
      <c r="D219" s="17" t="s">
        <v>918</v>
      </c>
      <c r="E219" s="143">
        <v>620596</v>
      </c>
      <c r="F219" s="21" t="s">
        <v>684</v>
      </c>
      <c r="G219" s="21" t="e">
        <f>VLOOKUP(P219,'CO F3'!$C$2:$M$108,7,FALSE)</f>
        <v>#N/A</v>
      </c>
      <c r="H219" s="21" t="e">
        <f>VLOOKUP(Q219,'CO F3'!$C$2:$M$108,7,FALSE)</f>
        <v>#N/A</v>
      </c>
      <c r="I219" s="17" t="s">
        <v>697</v>
      </c>
      <c r="J219" s="18"/>
      <c r="K219" s="18"/>
      <c r="L219" s="18"/>
      <c r="M219" s="18"/>
      <c r="N219" s="18" t="s">
        <v>13</v>
      </c>
      <c r="O219" s="18"/>
      <c r="P219" s="17" t="s">
        <v>362</v>
      </c>
      <c r="Q219" s="17" t="s">
        <v>861</v>
      </c>
      <c r="R219" s="40" t="s">
        <v>848</v>
      </c>
      <c r="S219" s="40" t="s">
        <v>312</v>
      </c>
      <c r="T219" s="40" t="s">
        <v>360</v>
      </c>
      <c r="U219" s="19" t="s">
        <v>363</v>
      </c>
      <c r="V219" s="13" t="s">
        <v>24</v>
      </c>
      <c r="W219" s="19">
        <v>1</v>
      </c>
      <c r="X219" s="19" t="s">
        <v>25</v>
      </c>
      <c r="Y219" s="19" t="s">
        <v>134</v>
      </c>
      <c r="Z219" s="19">
        <v>2</v>
      </c>
      <c r="AA219" s="19">
        <v>0.21199999999999999</v>
      </c>
      <c r="AB219" s="38" t="s">
        <v>30</v>
      </c>
      <c r="AC219" s="19" t="s">
        <v>239</v>
      </c>
      <c r="AD219" s="19" t="s">
        <v>19</v>
      </c>
      <c r="AE219" s="19" t="s">
        <v>20</v>
      </c>
      <c r="AF219" s="19" t="s">
        <v>21</v>
      </c>
      <c r="AG219" s="11"/>
    </row>
    <row r="220" spans="1:33" s="12" customFormat="1" ht="21.95" hidden="1" customHeight="1">
      <c r="A220" s="24">
        <v>219</v>
      </c>
      <c r="B220" s="25">
        <v>12</v>
      </c>
      <c r="C220" s="25">
        <v>26303</v>
      </c>
      <c r="D220" s="25" t="s">
        <v>918</v>
      </c>
      <c r="E220" s="144">
        <v>620596</v>
      </c>
      <c r="F220" s="21" t="s">
        <v>684</v>
      </c>
      <c r="G220" s="21" t="e">
        <f>VLOOKUP(P220,'CO F3'!$C$2:$M$108,7,FALSE)</f>
        <v>#N/A</v>
      </c>
      <c r="H220" s="21" t="e">
        <f>VLOOKUP(Q220,'CO F3'!$C$2:$M$108,7,FALSE)</f>
        <v>#N/A</v>
      </c>
      <c r="I220" s="25" t="s">
        <v>697</v>
      </c>
      <c r="J220" s="26"/>
      <c r="K220" s="26"/>
      <c r="L220" s="26"/>
      <c r="M220" s="26"/>
      <c r="N220" s="26" t="s">
        <v>13</v>
      </c>
      <c r="O220" s="26"/>
      <c r="P220" s="25">
        <v>7703011322</v>
      </c>
      <c r="Q220" s="25" t="s">
        <v>849</v>
      </c>
      <c r="R220" s="41" t="s">
        <v>849</v>
      </c>
      <c r="S220" s="41" t="s">
        <v>312</v>
      </c>
      <c r="T220" s="41" t="s">
        <v>360</v>
      </c>
      <c r="U220" s="27" t="s">
        <v>364</v>
      </c>
      <c r="V220" s="15" t="s">
        <v>29</v>
      </c>
      <c r="W220" s="27">
        <v>1</v>
      </c>
      <c r="X220" s="27"/>
      <c r="Y220" s="27"/>
      <c r="Z220" s="27"/>
      <c r="AA220" s="27">
        <v>5.0000000000000001E-3</v>
      </c>
      <c r="AB220" s="38" t="s">
        <v>30</v>
      </c>
      <c r="AC220" s="27" t="s">
        <v>239</v>
      </c>
      <c r="AD220" s="27" t="s">
        <v>19</v>
      </c>
      <c r="AE220" s="27" t="s">
        <v>20</v>
      </c>
      <c r="AF220" s="27" t="s">
        <v>21</v>
      </c>
      <c r="AG220" s="11"/>
    </row>
    <row r="221" spans="1:33" s="12" customFormat="1" ht="21.95" hidden="1" customHeight="1">
      <c r="A221" s="24">
        <v>220</v>
      </c>
      <c r="B221" s="25">
        <v>12</v>
      </c>
      <c r="C221" s="25">
        <v>26303</v>
      </c>
      <c r="D221" s="25" t="s">
        <v>918</v>
      </c>
      <c r="E221" s="144">
        <v>620596</v>
      </c>
      <c r="F221" s="21" t="s">
        <v>684</v>
      </c>
      <c r="G221" s="21" t="e">
        <f>VLOOKUP(P221,'CO F3'!$C$2:$M$108,7,FALSE)</f>
        <v>#N/A</v>
      </c>
      <c r="H221" s="21" t="e">
        <f>VLOOKUP(Q221,'CO F3'!$C$2:$M$108,7,FALSE)</f>
        <v>#N/A</v>
      </c>
      <c r="I221" s="25" t="s">
        <v>697</v>
      </c>
      <c r="J221" s="26"/>
      <c r="K221" s="26"/>
      <c r="L221" s="26"/>
      <c r="M221" s="26"/>
      <c r="N221" s="26" t="s">
        <v>13</v>
      </c>
      <c r="O221" s="26"/>
      <c r="P221" s="25">
        <v>7703042070</v>
      </c>
      <c r="Q221" s="25" t="s">
        <v>849</v>
      </c>
      <c r="R221" s="41" t="s">
        <v>849</v>
      </c>
      <c r="S221" s="41" t="s">
        <v>312</v>
      </c>
      <c r="T221" s="41" t="s">
        <v>360</v>
      </c>
      <c r="U221" s="27" t="s">
        <v>282</v>
      </c>
      <c r="V221" s="15" t="s">
        <v>29</v>
      </c>
      <c r="W221" s="27">
        <v>1</v>
      </c>
      <c r="X221" s="27"/>
      <c r="Y221" s="27"/>
      <c r="Z221" s="27"/>
      <c r="AA221" s="27">
        <v>2.3E-2</v>
      </c>
      <c r="AB221" s="38" t="s">
        <v>30</v>
      </c>
      <c r="AC221" s="27" t="s">
        <v>239</v>
      </c>
      <c r="AD221" s="27" t="s">
        <v>19</v>
      </c>
      <c r="AE221" s="27" t="s">
        <v>20</v>
      </c>
      <c r="AF221" s="27" t="s">
        <v>21</v>
      </c>
      <c r="AG221" s="11"/>
    </row>
    <row r="222" spans="1:33" s="12" customFormat="1" ht="21.95" hidden="1" customHeight="1">
      <c r="A222" s="31">
        <v>221</v>
      </c>
      <c r="B222" s="32">
        <v>12</v>
      </c>
      <c r="C222" s="32">
        <v>26303</v>
      </c>
      <c r="D222" s="32" t="s">
        <v>918</v>
      </c>
      <c r="E222" s="145">
        <v>620596</v>
      </c>
      <c r="F222" s="21" t="s">
        <v>684</v>
      </c>
      <c r="G222" s="21" t="str">
        <f>VLOOKUP(P222,'CO F3'!$C$2:$M$108,7,FALSE)</f>
        <v xml:space="preserve">GESTAMP </v>
      </c>
      <c r="H222" s="21" t="e">
        <f>VLOOKUP(Q222,'CO F3'!$C$2:$M$108,7,FALSE)</f>
        <v>#N/A</v>
      </c>
      <c r="I222" s="32" t="s">
        <v>697</v>
      </c>
      <c r="J222" s="33"/>
      <c r="K222" s="33"/>
      <c r="L222" s="33"/>
      <c r="M222" s="33" t="s">
        <v>13</v>
      </c>
      <c r="N222" s="33"/>
      <c r="O222" s="33"/>
      <c r="P222" s="32" t="s">
        <v>356</v>
      </c>
      <c r="Q222" s="32" t="s">
        <v>849</v>
      </c>
      <c r="R222" s="42" t="s">
        <v>849</v>
      </c>
      <c r="S222" s="42" t="s">
        <v>312</v>
      </c>
      <c r="T222" s="42" t="s">
        <v>356</v>
      </c>
      <c r="U222" s="34" t="s">
        <v>357</v>
      </c>
      <c r="V222" s="35" t="s">
        <v>41</v>
      </c>
      <c r="W222" s="34">
        <v>1</v>
      </c>
      <c r="X222" s="34"/>
      <c r="Y222" s="34"/>
      <c r="Z222" s="34"/>
      <c r="AA222" s="34"/>
      <c r="AB222" s="38" t="s">
        <v>30</v>
      </c>
      <c r="AC222" s="34" t="s">
        <v>239</v>
      </c>
      <c r="AD222" s="34" t="s">
        <v>19</v>
      </c>
      <c r="AE222" s="34" t="s">
        <v>20</v>
      </c>
      <c r="AF222" s="34" t="s">
        <v>21</v>
      </c>
      <c r="AG222" s="11"/>
    </row>
    <row r="223" spans="1:33" s="12" customFormat="1" ht="21.95" hidden="1" customHeight="1">
      <c r="A223" s="16">
        <v>222</v>
      </c>
      <c r="B223" s="17">
        <v>12</v>
      </c>
      <c r="C223" s="17">
        <v>26303</v>
      </c>
      <c r="D223" s="17" t="s">
        <v>918</v>
      </c>
      <c r="E223" s="143">
        <v>620596</v>
      </c>
      <c r="F223" s="21" t="s">
        <v>684</v>
      </c>
      <c r="G223" s="21" t="e">
        <f>VLOOKUP(P223,'CO F3'!$C$2:$M$108,7,FALSE)</f>
        <v>#N/A</v>
      </c>
      <c r="H223" s="21" t="e">
        <f>VLOOKUP(Q223,'CO F3'!$C$2:$M$108,7,FALSE)</f>
        <v>#N/A</v>
      </c>
      <c r="I223" s="17" t="s">
        <v>697</v>
      </c>
      <c r="J223" s="18"/>
      <c r="K223" s="18"/>
      <c r="L223" s="18"/>
      <c r="M223" s="18"/>
      <c r="N223" s="18" t="s">
        <v>13</v>
      </c>
      <c r="O223" s="18"/>
      <c r="P223" s="17" t="s">
        <v>365</v>
      </c>
      <c r="Q223" s="17" t="s">
        <v>861</v>
      </c>
      <c r="R223" s="40" t="s">
        <v>848</v>
      </c>
      <c r="S223" s="40" t="s">
        <v>312</v>
      </c>
      <c r="T223" s="40" t="s">
        <v>356</v>
      </c>
      <c r="U223" s="19" t="s">
        <v>366</v>
      </c>
      <c r="V223" s="13" t="s">
        <v>24</v>
      </c>
      <c r="W223" s="19">
        <v>1</v>
      </c>
      <c r="X223" s="19" t="s">
        <v>367</v>
      </c>
      <c r="Y223" s="19"/>
      <c r="Z223" s="19">
        <v>1.3</v>
      </c>
      <c r="AA223" s="19">
        <v>2.097</v>
      </c>
      <c r="AB223" s="38" t="s">
        <v>30</v>
      </c>
      <c r="AC223" s="19" t="s">
        <v>239</v>
      </c>
      <c r="AD223" s="19" t="s">
        <v>19</v>
      </c>
      <c r="AE223" s="19" t="s">
        <v>20</v>
      </c>
      <c r="AF223" s="19" t="s">
        <v>21</v>
      </c>
      <c r="AG223" s="11"/>
    </row>
    <row r="224" spans="1:33" s="12" customFormat="1" ht="21.95" hidden="1" customHeight="1">
      <c r="A224" s="24">
        <v>223</v>
      </c>
      <c r="B224" s="25">
        <v>12</v>
      </c>
      <c r="C224" s="25">
        <v>26303</v>
      </c>
      <c r="D224" s="25" t="s">
        <v>918</v>
      </c>
      <c r="E224" s="144">
        <v>620596</v>
      </c>
      <c r="F224" s="21" t="s">
        <v>684</v>
      </c>
      <c r="G224" s="21" t="e">
        <f>VLOOKUP(P224,'CO F3'!$C$2:$M$108,7,FALSE)</f>
        <v>#N/A</v>
      </c>
      <c r="H224" s="21" t="e">
        <f>VLOOKUP(Q224,'CO F3'!$C$2:$M$108,7,FALSE)</f>
        <v>#N/A</v>
      </c>
      <c r="I224" s="25" t="s">
        <v>697</v>
      </c>
      <c r="J224" s="26"/>
      <c r="K224" s="26"/>
      <c r="L224" s="26"/>
      <c r="M224" s="26"/>
      <c r="N224" s="26" t="s">
        <v>13</v>
      </c>
      <c r="O224" s="26"/>
      <c r="P224" s="25">
        <v>7703042065</v>
      </c>
      <c r="Q224" s="25" t="s">
        <v>849</v>
      </c>
      <c r="R224" s="41" t="s">
        <v>849</v>
      </c>
      <c r="S224" s="41" t="s">
        <v>312</v>
      </c>
      <c r="T224" s="41" t="s">
        <v>356</v>
      </c>
      <c r="U224" s="27" t="s">
        <v>310</v>
      </c>
      <c r="V224" s="15" t="s">
        <v>29</v>
      </c>
      <c r="W224" s="27">
        <v>1</v>
      </c>
      <c r="X224" s="27"/>
      <c r="Y224" s="27"/>
      <c r="Z224" s="27"/>
      <c r="AA224" s="27">
        <v>7.0000000000000001E-3</v>
      </c>
      <c r="AB224" s="38" t="s">
        <v>30</v>
      </c>
      <c r="AC224" s="27" t="s">
        <v>239</v>
      </c>
      <c r="AD224" s="27" t="s">
        <v>19</v>
      </c>
      <c r="AE224" s="27" t="s">
        <v>20</v>
      </c>
      <c r="AF224" s="27" t="s">
        <v>21</v>
      </c>
      <c r="AG224" s="11"/>
    </row>
    <row r="225" spans="1:33" s="12" customFormat="1" ht="21.95" hidden="1" customHeight="1">
      <c r="A225" s="24">
        <v>224</v>
      </c>
      <c r="B225" s="25">
        <v>12</v>
      </c>
      <c r="C225" s="25">
        <v>26303</v>
      </c>
      <c r="D225" s="25" t="s">
        <v>918</v>
      </c>
      <c r="E225" s="144">
        <v>620596</v>
      </c>
      <c r="F225" s="21" t="s">
        <v>684</v>
      </c>
      <c r="G225" s="21" t="e">
        <f>VLOOKUP(P225,'CO F3'!$C$2:$M$108,7,FALSE)</f>
        <v>#N/A</v>
      </c>
      <c r="H225" s="21" t="e">
        <f>VLOOKUP(Q225,'CO F3'!$C$2:$M$108,7,FALSE)</f>
        <v>#N/A</v>
      </c>
      <c r="I225" s="25" t="s">
        <v>697</v>
      </c>
      <c r="J225" s="26"/>
      <c r="K225" s="26"/>
      <c r="L225" s="26"/>
      <c r="M225" s="26"/>
      <c r="N225" s="26" t="s">
        <v>13</v>
      </c>
      <c r="O225" s="26"/>
      <c r="P225" s="25">
        <v>7703042086</v>
      </c>
      <c r="Q225" s="25" t="s">
        <v>849</v>
      </c>
      <c r="R225" s="41" t="s">
        <v>849</v>
      </c>
      <c r="S225" s="41" t="s">
        <v>312</v>
      </c>
      <c r="T225" s="41" t="s">
        <v>356</v>
      </c>
      <c r="U225" s="27" t="s">
        <v>75</v>
      </c>
      <c r="V225" s="15" t="s">
        <v>29</v>
      </c>
      <c r="W225" s="27">
        <v>1</v>
      </c>
      <c r="X225" s="27"/>
      <c r="Y225" s="27"/>
      <c r="Z225" s="27"/>
      <c r="AA225" s="27">
        <v>7.0000000000000001E-3</v>
      </c>
      <c r="AB225" s="38" t="s">
        <v>30</v>
      </c>
      <c r="AC225" s="27" t="s">
        <v>239</v>
      </c>
      <c r="AD225" s="27" t="s">
        <v>19</v>
      </c>
      <c r="AE225" s="27" t="s">
        <v>20</v>
      </c>
      <c r="AF225" s="27" t="s">
        <v>21</v>
      </c>
      <c r="AG225" s="11"/>
    </row>
    <row r="226" spans="1:33" s="12" customFormat="1" ht="21.95" hidden="1" customHeight="1">
      <c r="A226" s="31">
        <v>225</v>
      </c>
      <c r="B226" s="32">
        <v>12</v>
      </c>
      <c r="C226" s="32">
        <v>26303</v>
      </c>
      <c r="D226" s="32" t="s">
        <v>918</v>
      </c>
      <c r="E226" s="145"/>
      <c r="F226" s="21" t="s">
        <v>917</v>
      </c>
      <c r="G226" s="21" t="e">
        <f>VLOOKUP(P226,'CO F3'!$C$2:$M$108,7,FALSE)</f>
        <v>#N/A</v>
      </c>
      <c r="H226" s="21" t="e">
        <f>VLOOKUP(Q226,'CO F3'!$C$2:$M$108,7,FALSE)</f>
        <v>#N/A</v>
      </c>
      <c r="I226" s="32" t="s">
        <v>697</v>
      </c>
      <c r="J226" s="33"/>
      <c r="K226" s="33"/>
      <c r="L226" s="33"/>
      <c r="M226" s="33" t="s">
        <v>13</v>
      </c>
      <c r="N226" s="33"/>
      <c r="O226" s="33"/>
      <c r="P226" s="32" t="s">
        <v>368</v>
      </c>
      <c r="Q226" s="32" t="s">
        <v>849</v>
      </c>
      <c r="R226" s="42" t="s">
        <v>849</v>
      </c>
      <c r="S226" s="42" t="s">
        <v>312</v>
      </c>
      <c r="T226" s="42" t="s">
        <v>356</v>
      </c>
      <c r="U226" s="34" t="s">
        <v>369</v>
      </c>
      <c r="V226" s="35" t="s">
        <v>41</v>
      </c>
      <c r="W226" s="34">
        <v>1</v>
      </c>
      <c r="X226" s="34"/>
      <c r="Y226" s="34"/>
      <c r="Z226" s="34"/>
      <c r="AA226" s="34"/>
      <c r="AB226" s="38" t="s">
        <v>30</v>
      </c>
      <c r="AC226" s="34" t="s">
        <v>239</v>
      </c>
      <c r="AD226" s="34" t="s">
        <v>19</v>
      </c>
      <c r="AE226" s="34" t="s">
        <v>20</v>
      </c>
      <c r="AF226" s="34" t="s">
        <v>21</v>
      </c>
      <c r="AG226" s="11"/>
    </row>
    <row r="227" spans="1:33" s="12" customFormat="1" ht="21.95" hidden="1" customHeight="1">
      <c r="A227" s="16">
        <v>226</v>
      </c>
      <c r="B227" s="17">
        <v>12</v>
      </c>
      <c r="C227" s="17">
        <v>26303</v>
      </c>
      <c r="D227" s="17" t="s">
        <v>918</v>
      </c>
      <c r="E227" s="143"/>
      <c r="F227" s="21" t="s">
        <v>917</v>
      </c>
      <c r="G227" s="21" t="e">
        <f>VLOOKUP(P227,'CO F3'!$C$2:$M$108,7,FALSE)</f>
        <v>#N/A</v>
      </c>
      <c r="H227" s="21" t="e">
        <f>VLOOKUP(Q227,'CO F3'!$C$2:$M$108,7,FALSE)</f>
        <v>#N/A</v>
      </c>
      <c r="I227" s="17" t="s">
        <v>697</v>
      </c>
      <c r="J227" s="18"/>
      <c r="K227" s="18"/>
      <c r="L227" s="18"/>
      <c r="M227" s="18"/>
      <c r="N227" s="18" t="s">
        <v>13</v>
      </c>
      <c r="O227" s="18"/>
      <c r="P227" s="17" t="s">
        <v>370</v>
      </c>
      <c r="Q227" s="17" t="s">
        <v>861</v>
      </c>
      <c r="R227" s="40" t="s">
        <v>852</v>
      </c>
      <c r="S227" s="40" t="s">
        <v>312</v>
      </c>
      <c r="T227" s="40" t="s">
        <v>368</v>
      </c>
      <c r="U227" s="19" t="s">
        <v>371</v>
      </c>
      <c r="V227" s="13" t="s">
        <v>24</v>
      </c>
      <c r="W227" s="19">
        <v>1</v>
      </c>
      <c r="X227" s="19" t="s">
        <v>25</v>
      </c>
      <c r="Y227" s="19"/>
      <c r="Z227" s="19">
        <v>2.5</v>
      </c>
      <c r="AA227" s="19">
        <v>0.432</v>
      </c>
      <c r="AB227" s="38" t="s">
        <v>30</v>
      </c>
      <c r="AC227" s="19" t="s">
        <v>239</v>
      </c>
      <c r="AD227" s="19" t="s">
        <v>19</v>
      </c>
      <c r="AE227" s="19" t="s">
        <v>20</v>
      </c>
      <c r="AF227" s="19" t="s">
        <v>21</v>
      </c>
      <c r="AG227" s="11"/>
    </row>
    <row r="228" spans="1:33" s="12" customFormat="1" ht="21.95" hidden="1" customHeight="1">
      <c r="A228" s="24">
        <v>227</v>
      </c>
      <c r="B228" s="25">
        <v>12</v>
      </c>
      <c r="C228" s="25">
        <v>26303</v>
      </c>
      <c r="D228" s="25" t="s">
        <v>918</v>
      </c>
      <c r="E228" s="144"/>
      <c r="F228" s="21" t="s">
        <v>917</v>
      </c>
      <c r="G228" s="21" t="e">
        <f>VLOOKUP(P228,'CO F3'!$C$2:$M$108,7,FALSE)</f>
        <v>#N/A</v>
      </c>
      <c r="H228" s="21" t="e">
        <f>VLOOKUP(Q228,'CO F3'!$C$2:$M$108,7,FALSE)</f>
        <v>#N/A</v>
      </c>
      <c r="I228" s="25" t="s">
        <v>697</v>
      </c>
      <c r="J228" s="26"/>
      <c r="K228" s="26"/>
      <c r="L228" s="26"/>
      <c r="M228" s="26"/>
      <c r="N228" s="26" t="s">
        <v>13</v>
      </c>
      <c r="O228" s="26"/>
      <c r="P228" s="25">
        <v>7703042086</v>
      </c>
      <c r="Q228" s="25" t="s">
        <v>849</v>
      </c>
      <c r="R228" s="41" t="s">
        <v>849</v>
      </c>
      <c r="S228" s="41" t="s">
        <v>312</v>
      </c>
      <c r="T228" s="41" t="s">
        <v>368</v>
      </c>
      <c r="U228" s="27" t="s">
        <v>75</v>
      </c>
      <c r="V228" s="15" t="s">
        <v>29</v>
      </c>
      <c r="W228" s="27">
        <v>1</v>
      </c>
      <c r="X228" s="27"/>
      <c r="Y228" s="27"/>
      <c r="Z228" s="27"/>
      <c r="AA228" s="27">
        <v>6.0000000000000001E-3</v>
      </c>
      <c r="AB228" s="38" t="s">
        <v>30</v>
      </c>
      <c r="AC228" s="27" t="s">
        <v>239</v>
      </c>
      <c r="AD228" s="27" t="s">
        <v>19</v>
      </c>
      <c r="AE228" s="27" t="s">
        <v>20</v>
      </c>
      <c r="AF228" s="27" t="s">
        <v>21</v>
      </c>
      <c r="AG228" s="11"/>
    </row>
    <row r="229" spans="1:33" s="12" customFormat="1" ht="21.95" hidden="1" customHeight="1">
      <c r="A229" s="24">
        <v>228</v>
      </c>
      <c r="B229" s="25">
        <v>12</v>
      </c>
      <c r="C229" s="25">
        <v>26303</v>
      </c>
      <c r="D229" s="25" t="s">
        <v>918</v>
      </c>
      <c r="E229" s="144"/>
      <c r="F229" s="21" t="s">
        <v>917</v>
      </c>
      <c r="G229" s="21" t="e">
        <f>VLOOKUP(P229,'CO F3'!$C$2:$M$108,7,FALSE)</f>
        <v>#N/A</v>
      </c>
      <c r="H229" s="21" t="e">
        <f>VLOOKUP(Q229,'CO F3'!$C$2:$M$108,7,FALSE)</f>
        <v>#N/A</v>
      </c>
      <c r="I229" s="25" t="s">
        <v>697</v>
      </c>
      <c r="J229" s="26"/>
      <c r="K229" s="26"/>
      <c r="L229" s="26"/>
      <c r="M229" s="26"/>
      <c r="N229" s="26" t="s">
        <v>13</v>
      </c>
      <c r="O229" s="26"/>
      <c r="P229" s="25">
        <v>7703042110</v>
      </c>
      <c r="Q229" s="25" t="s">
        <v>849</v>
      </c>
      <c r="R229" s="41" t="s">
        <v>849</v>
      </c>
      <c r="S229" s="41" t="s">
        <v>312</v>
      </c>
      <c r="T229" s="41" t="s">
        <v>368</v>
      </c>
      <c r="U229" s="27" t="s">
        <v>267</v>
      </c>
      <c r="V229" s="15" t="s">
        <v>29</v>
      </c>
      <c r="W229" s="27">
        <v>1</v>
      </c>
      <c r="X229" s="27"/>
      <c r="Y229" s="27"/>
      <c r="Z229" s="27"/>
      <c r="AA229" s="27">
        <v>1.9E-2</v>
      </c>
      <c r="AB229" s="38" t="s">
        <v>30</v>
      </c>
      <c r="AC229" s="27" t="s">
        <v>239</v>
      </c>
      <c r="AD229" s="27" t="s">
        <v>19</v>
      </c>
      <c r="AE229" s="27" t="s">
        <v>20</v>
      </c>
      <c r="AF229" s="27" t="s">
        <v>21</v>
      </c>
      <c r="AG229" s="11"/>
    </row>
    <row r="230" spans="1:33" s="12" customFormat="1" ht="21.95" hidden="1" customHeight="1">
      <c r="A230" s="31">
        <v>229</v>
      </c>
      <c r="B230" s="32">
        <v>12</v>
      </c>
      <c r="C230" s="32">
        <v>26303</v>
      </c>
      <c r="D230" s="32" t="s">
        <v>918</v>
      </c>
      <c r="E230" s="145"/>
      <c r="F230" s="21" t="s">
        <v>917</v>
      </c>
      <c r="G230" s="21" t="e">
        <f>VLOOKUP(P230,'CO F3'!$C$2:$M$108,7,FALSE)</f>
        <v>#N/A</v>
      </c>
      <c r="H230" s="21" t="e">
        <f>VLOOKUP(Q230,'CO F3'!$C$2:$M$108,7,FALSE)</f>
        <v>#N/A</v>
      </c>
      <c r="I230" s="32" t="s">
        <v>697</v>
      </c>
      <c r="J230" s="33"/>
      <c r="K230" s="33"/>
      <c r="L230" s="33"/>
      <c r="M230" s="33" t="s">
        <v>13</v>
      </c>
      <c r="N230" s="33"/>
      <c r="O230" s="33"/>
      <c r="P230" s="32" t="s">
        <v>372</v>
      </c>
      <c r="Q230" s="32" t="s">
        <v>849</v>
      </c>
      <c r="R230" s="42" t="s">
        <v>849</v>
      </c>
      <c r="S230" s="42" t="s">
        <v>312</v>
      </c>
      <c r="T230" s="42" t="s">
        <v>356</v>
      </c>
      <c r="U230" s="34" t="s">
        <v>373</v>
      </c>
      <c r="V230" s="35" t="s">
        <v>41</v>
      </c>
      <c r="W230" s="34">
        <v>1</v>
      </c>
      <c r="X230" s="34"/>
      <c r="Y230" s="34"/>
      <c r="Z230" s="34"/>
      <c r="AA230" s="34"/>
      <c r="AB230" s="38" t="s">
        <v>30</v>
      </c>
      <c r="AC230" s="34" t="s">
        <v>239</v>
      </c>
      <c r="AD230" s="34" t="s">
        <v>19</v>
      </c>
      <c r="AE230" s="34" t="s">
        <v>20</v>
      </c>
      <c r="AF230" s="34" t="s">
        <v>21</v>
      </c>
      <c r="AG230" s="11"/>
    </row>
    <row r="231" spans="1:33" s="12" customFormat="1" ht="21.95" hidden="1" customHeight="1">
      <c r="A231" s="16">
        <v>230</v>
      </c>
      <c r="B231" s="17">
        <v>12</v>
      </c>
      <c r="C231" s="17">
        <v>26303</v>
      </c>
      <c r="D231" s="17" t="s">
        <v>918</v>
      </c>
      <c r="E231" s="143"/>
      <c r="F231" s="21" t="s">
        <v>917</v>
      </c>
      <c r="G231" s="21" t="e">
        <f>VLOOKUP(P231,'CO F3'!$C$2:$M$108,7,FALSE)</f>
        <v>#N/A</v>
      </c>
      <c r="H231" s="21" t="e">
        <f>VLOOKUP(Q231,'CO F3'!$C$2:$M$108,7,FALSE)</f>
        <v>#N/A</v>
      </c>
      <c r="I231" s="17" t="s">
        <v>697</v>
      </c>
      <c r="J231" s="18"/>
      <c r="K231" s="18"/>
      <c r="L231" s="18"/>
      <c r="M231" s="18"/>
      <c r="N231" s="18" t="s">
        <v>13</v>
      </c>
      <c r="O231" s="18"/>
      <c r="P231" s="17" t="s">
        <v>374</v>
      </c>
      <c r="Q231" s="17" t="s">
        <v>861</v>
      </c>
      <c r="R231" s="40" t="s">
        <v>852</v>
      </c>
      <c r="S231" s="40" t="s">
        <v>312</v>
      </c>
      <c r="T231" s="40" t="s">
        <v>372</v>
      </c>
      <c r="U231" s="19" t="s">
        <v>375</v>
      </c>
      <c r="V231" s="13" t="s">
        <v>24</v>
      </c>
      <c r="W231" s="19">
        <v>1</v>
      </c>
      <c r="X231" s="19" t="s">
        <v>25</v>
      </c>
      <c r="Y231" s="19"/>
      <c r="Z231" s="19">
        <v>1.6</v>
      </c>
      <c r="AA231" s="19">
        <v>0.17899999999999999</v>
      </c>
      <c r="AB231" s="38" t="s">
        <v>30</v>
      </c>
      <c r="AC231" s="19" t="s">
        <v>239</v>
      </c>
      <c r="AD231" s="19" t="s">
        <v>19</v>
      </c>
      <c r="AE231" s="19" t="s">
        <v>20</v>
      </c>
      <c r="AF231" s="19" t="s">
        <v>21</v>
      </c>
      <c r="AG231" s="11"/>
    </row>
    <row r="232" spans="1:33" s="12" customFormat="1" ht="21.95" hidden="1" customHeight="1">
      <c r="A232" s="24">
        <v>231</v>
      </c>
      <c r="B232" s="25">
        <v>12</v>
      </c>
      <c r="C232" s="25">
        <v>26303</v>
      </c>
      <c r="D232" s="25" t="s">
        <v>918</v>
      </c>
      <c r="E232" s="144"/>
      <c r="F232" s="21" t="s">
        <v>917</v>
      </c>
      <c r="G232" s="21" t="e">
        <f>VLOOKUP(P232,'CO F3'!$C$2:$M$108,7,FALSE)</f>
        <v>#N/A</v>
      </c>
      <c r="H232" s="21" t="e">
        <f>VLOOKUP(Q232,'CO F3'!$C$2:$M$108,7,FALSE)</f>
        <v>#N/A</v>
      </c>
      <c r="I232" s="25" t="s">
        <v>697</v>
      </c>
      <c r="J232" s="26"/>
      <c r="K232" s="26"/>
      <c r="L232" s="26"/>
      <c r="M232" s="26"/>
      <c r="N232" s="26" t="s">
        <v>13</v>
      </c>
      <c r="O232" s="26"/>
      <c r="P232" s="25">
        <v>7703042086</v>
      </c>
      <c r="Q232" s="25" t="s">
        <v>849</v>
      </c>
      <c r="R232" s="41" t="s">
        <v>849</v>
      </c>
      <c r="S232" s="41" t="s">
        <v>312</v>
      </c>
      <c r="T232" s="41" t="s">
        <v>372</v>
      </c>
      <c r="U232" s="27" t="s">
        <v>75</v>
      </c>
      <c r="V232" s="15" t="s">
        <v>29</v>
      </c>
      <c r="W232" s="27">
        <v>1</v>
      </c>
      <c r="X232" s="27"/>
      <c r="Y232" s="27"/>
      <c r="Z232" s="27"/>
      <c r="AA232" s="27">
        <v>6.0000000000000001E-3</v>
      </c>
      <c r="AB232" s="38" t="s">
        <v>30</v>
      </c>
      <c r="AC232" s="27" t="s">
        <v>239</v>
      </c>
      <c r="AD232" s="27" t="s">
        <v>19</v>
      </c>
      <c r="AE232" s="27" t="s">
        <v>20</v>
      </c>
      <c r="AF232" s="27" t="s">
        <v>21</v>
      </c>
      <c r="AG232" s="11"/>
    </row>
    <row r="233" spans="1:33" s="12" customFormat="1" ht="21.95" hidden="1" customHeight="1">
      <c r="A233" s="24">
        <v>232</v>
      </c>
      <c r="B233" s="25">
        <v>12</v>
      </c>
      <c r="C233" s="25">
        <v>26303</v>
      </c>
      <c r="D233" s="25" t="s">
        <v>918</v>
      </c>
      <c r="E233" s="144"/>
      <c r="F233" s="21" t="s">
        <v>917</v>
      </c>
      <c r="G233" s="21" t="e">
        <f>VLOOKUP(P233,'CO F3'!$C$2:$M$108,7,FALSE)</f>
        <v>#N/A</v>
      </c>
      <c r="H233" s="21" t="e">
        <f>VLOOKUP(Q233,'CO F3'!$C$2:$M$108,7,FALSE)</f>
        <v>#N/A</v>
      </c>
      <c r="I233" s="25" t="s">
        <v>697</v>
      </c>
      <c r="J233" s="26"/>
      <c r="K233" s="26"/>
      <c r="L233" s="26"/>
      <c r="M233" s="26"/>
      <c r="N233" s="26" t="s">
        <v>13</v>
      </c>
      <c r="O233" s="26"/>
      <c r="P233" s="25">
        <v>7703042110</v>
      </c>
      <c r="Q233" s="25" t="s">
        <v>849</v>
      </c>
      <c r="R233" s="41" t="s">
        <v>849</v>
      </c>
      <c r="S233" s="41" t="s">
        <v>312</v>
      </c>
      <c r="T233" s="41" t="s">
        <v>372</v>
      </c>
      <c r="U233" s="27" t="s">
        <v>267</v>
      </c>
      <c r="V233" s="15" t="s">
        <v>29</v>
      </c>
      <c r="W233" s="27">
        <v>3</v>
      </c>
      <c r="X233" s="27"/>
      <c r="Y233" s="27"/>
      <c r="Z233" s="27"/>
      <c r="AA233" s="27">
        <v>5.6999999999999995E-2</v>
      </c>
      <c r="AB233" s="38" t="s">
        <v>30</v>
      </c>
      <c r="AC233" s="27" t="s">
        <v>239</v>
      </c>
      <c r="AD233" s="27" t="s">
        <v>19</v>
      </c>
      <c r="AE233" s="27" t="s">
        <v>20</v>
      </c>
      <c r="AF233" s="27" t="s">
        <v>21</v>
      </c>
      <c r="AG233" s="11"/>
    </row>
    <row r="234" spans="1:33" s="12" customFormat="1" ht="21.95" hidden="1" customHeight="1">
      <c r="A234" s="31">
        <v>233</v>
      </c>
      <c r="B234" s="32">
        <v>12</v>
      </c>
      <c r="C234" s="32">
        <v>26303</v>
      </c>
      <c r="D234" s="32" t="s">
        <v>918</v>
      </c>
      <c r="E234" s="145"/>
      <c r="F234" s="21" t="s">
        <v>890</v>
      </c>
      <c r="G234" s="21" t="str">
        <f>VLOOKUP(P234,'CO F3'!$C$2:$M$108,7,FALSE)</f>
        <v>SC GIC NOSAG METAL SRL</v>
      </c>
      <c r="H234" s="21" t="e">
        <f>VLOOKUP(Q234,'CO F3'!$C$2:$M$108,7,FALSE)</f>
        <v>#N/A</v>
      </c>
      <c r="I234" s="32" t="s">
        <v>697</v>
      </c>
      <c r="J234" s="33"/>
      <c r="K234" s="33" t="s">
        <v>13</v>
      </c>
      <c r="L234" s="33"/>
      <c r="M234" s="33"/>
      <c r="N234" s="33"/>
      <c r="O234" s="33"/>
      <c r="P234" s="32" t="s">
        <v>376</v>
      </c>
      <c r="Q234" s="32" t="s">
        <v>849</v>
      </c>
      <c r="R234" s="42" t="s">
        <v>849</v>
      </c>
      <c r="S234" s="42" t="s">
        <v>312</v>
      </c>
      <c r="T234" s="42" t="s">
        <v>311</v>
      </c>
      <c r="U234" s="34" t="s">
        <v>377</v>
      </c>
      <c r="V234" s="35" t="s">
        <v>41</v>
      </c>
      <c r="W234" s="34">
        <v>1</v>
      </c>
      <c r="X234" s="34"/>
      <c r="Y234" s="34"/>
      <c r="Z234" s="34"/>
      <c r="AA234" s="34"/>
      <c r="AB234" s="38" t="s">
        <v>30</v>
      </c>
      <c r="AC234" s="34" t="s">
        <v>239</v>
      </c>
      <c r="AD234" s="34" t="s">
        <v>19</v>
      </c>
      <c r="AE234" s="34" t="s">
        <v>20</v>
      </c>
      <c r="AF234" s="34" t="s">
        <v>21</v>
      </c>
      <c r="AG234" s="11"/>
    </row>
    <row r="235" spans="1:33" s="12" customFormat="1" ht="21.95" hidden="1" customHeight="1">
      <c r="A235" s="16">
        <v>234</v>
      </c>
      <c r="B235" s="17">
        <v>12</v>
      </c>
      <c r="C235" s="17">
        <v>26303</v>
      </c>
      <c r="D235" s="17" t="s">
        <v>918</v>
      </c>
      <c r="E235" s="143"/>
      <c r="F235" s="21" t="s">
        <v>890</v>
      </c>
      <c r="G235" s="21" t="e">
        <f>VLOOKUP(P235,'CO F3'!$C$2:$M$108,7,FALSE)</f>
        <v>#N/A</v>
      </c>
      <c r="H235" s="21" t="e">
        <f>VLOOKUP(Q235,'CO F3'!$C$2:$M$108,7,FALSE)</f>
        <v>#N/A</v>
      </c>
      <c r="I235" s="17" t="s">
        <v>697</v>
      </c>
      <c r="J235" s="18"/>
      <c r="K235" s="18"/>
      <c r="L235" s="18" t="s">
        <v>13</v>
      </c>
      <c r="M235" s="18"/>
      <c r="N235" s="18"/>
      <c r="O235" s="18"/>
      <c r="P235" s="17" t="s">
        <v>378</v>
      </c>
      <c r="Q235" s="17" t="s">
        <v>864</v>
      </c>
      <c r="R235" s="40" t="s">
        <v>847</v>
      </c>
      <c r="S235" s="40" t="s">
        <v>312</v>
      </c>
      <c r="T235" s="40" t="s">
        <v>376</v>
      </c>
      <c r="U235" s="19" t="s">
        <v>379</v>
      </c>
      <c r="V235" s="13" t="s">
        <v>24</v>
      </c>
      <c r="W235" s="19">
        <v>1</v>
      </c>
      <c r="X235" s="19" t="s">
        <v>367</v>
      </c>
      <c r="Y235" s="19" t="s">
        <v>134</v>
      </c>
      <c r="Z235" s="19">
        <v>1.5</v>
      </c>
      <c r="AA235" s="19">
        <v>0.2</v>
      </c>
      <c r="AB235" s="38" t="s">
        <v>30</v>
      </c>
      <c r="AC235" s="19" t="s">
        <v>239</v>
      </c>
      <c r="AD235" s="19" t="s">
        <v>19</v>
      </c>
      <c r="AE235" s="19" t="s">
        <v>20</v>
      </c>
      <c r="AF235" s="19" t="s">
        <v>21</v>
      </c>
      <c r="AG235" s="11"/>
    </row>
    <row r="236" spans="1:33" s="12" customFormat="1" ht="21.95" hidden="1" customHeight="1">
      <c r="A236" s="24">
        <v>235</v>
      </c>
      <c r="B236" s="25">
        <v>12</v>
      </c>
      <c r="C236" s="25">
        <v>26303</v>
      </c>
      <c r="D236" s="25" t="s">
        <v>918</v>
      </c>
      <c r="E236" s="144"/>
      <c r="F236" s="21" t="s">
        <v>890</v>
      </c>
      <c r="G236" s="21" t="e">
        <f>VLOOKUP(P236,'CO F3'!$C$2:$M$108,7,FALSE)</f>
        <v>#N/A</v>
      </c>
      <c r="H236" s="21" t="e">
        <f>VLOOKUP(Q236,'CO F3'!$C$2:$M$108,7,FALSE)</f>
        <v>#N/A</v>
      </c>
      <c r="I236" s="25" t="s">
        <v>697</v>
      </c>
      <c r="J236" s="26"/>
      <c r="K236" s="26"/>
      <c r="L236" s="26" t="s">
        <v>13</v>
      </c>
      <c r="M236" s="26"/>
      <c r="N236" s="26"/>
      <c r="O236" s="26"/>
      <c r="P236" s="25">
        <v>7703042065</v>
      </c>
      <c r="Q236" s="25" t="s">
        <v>849</v>
      </c>
      <c r="R236" s="41" t="s">
        <v>849</v>
      </c>
      <c r="S236" s="41" t="s">
        <v>312</v>
      </c>
      <c r="T236" s="41" t="s">
        <v>376</v>
      </c>
      <c r="U236" s="27" t="s">
        <v>310</v>
      </c>
      <c r="V236" s="15" t="s">
        <v>29</v>
      </c>
      <c r="W236" s="27">
        <v>4</v>
      </c>
      <c r="X236" s="27"/>
      <c r="Y236" s="27"/>
      <c r="Z236" s="27"/>
      <c r="AA236" s="27">
        <v>2.8000000000000001E-2</v>
      </c>
      <c r="AB236" s="38" t="s">
        <v>30</v>
      </c>
      <c r="AC236" s="27" t="s">
        <v>239</v>
      </c>
      <c r="AD236" s="27" t="s">
        <v>19</v>
      </c>
      <c r="AE236" s="27" t="s">
        <v>20</v>
      </c>
      <c r="AF236" s="27" t="s">
        <v>21</v>
      </c>
      <c r="AG236" s="11"/>
    </row>
    <row r="237" spans="1:33" s="12" customFormat="1" ht="21.95" hidden="1" customHeight="1">
      <c r="A237" s="24">
        <v>236</v>
      </c>
      <c r="B237" s="25">
        <v>12</v>
      </c>
      <c r="C237" s="25">
        <v>26303</v>
      </c>
      <c r="D237" s="25" t="s">
        <v>918</v>
      </c>
      <c r="E237" s="144"/>
      <c r="F237" s="21" t="s">
        <v>890</v>
      </c>
      <c r="G237" s="21" t="e">
        <f>VLOOKUP(P237,'CO F3'!$C$2:$M$108,7,FALSE)</f>
        <v>#N/A</v>
      </c>
      <c r="H237" s="21" t="e">
        <f>VLOOKUP(Q237,'CO F3'!$C$2:$M$108,7,FALSE)</f>
        <v>#N/A</v>
      </c>
      <c r="I237" s="25" t="s">
        <v>697</v>
      </c>
      <c r="J237" s="26"/>
      <c r="K237" s="26"/>
      <c r="L237" s="26" t="s">
        <v>13</v>
      </c>
      <c r="M237" s="26"/>
      <c r="N237" s="26"/>
      <c r="O237" s="26"/>
      <c r="P237" s="25">
        <v>7703042086</v>
      </c>
      <c r="Q237" s="25" t="s">
        <v>849</v>
      </c>
      <c r="R237" s="41" t="s">
        <v>849</v>
      </c>
      <c r="S237" s="41" t="s">
        <v>312</v>
      </c>
      <c r="T237" s="41" t="s">
        <v>376</v>
      </c>
      <c r="U237" s="27" t="s">
        <v>75</v>
      </c>
      <c r="V237" s="15" t="s">
        <v>29</v>
      </c>
      <c r="W237" s="27">
        <v>3</v>
      </c>
      <c r="X237" s="27"/>
      <c r="Y237" s="27"/>
      <c r="Z237" s="27"/>
      <c r="AA237" s="27">
        <v>1.8000000000000002E-2</v>
      </c>
      <c r="AB237" s="38" t="s">
        <v>30</v>
      </c>
      <c r="AC237" s="27" t="s">
        <v>239</v>
      </c>
      <c r="AD237" s="27" t="s">
        <v>19</v>
      </c>
      <c r="AE237" s="27" t="s">
        <v>20</v>
      </c>
      <c r="AF237" s="27" t="s">
        <v>21</v>
      </c>
      <c r="AG237" s="11"/>
    </row>
    <row r="238" spans="1:33" s="12" customFormat="1" ht="21.95" hidden="1" customHeight="1">
      <c r="A238" s="20">
        <v>237</v>
      </c>
      <c r="B238" s="21">
        <v>12</v>
      </c>
      <c r="C238" s="21">
        <v>23045</v>
      </c>
      <c r="D238" s="21" t="s">
        <v>918</v>
      </c>
      <c r="E238" s="142"/>
      <c r="F238" s="21" t="s">
        <v>918</v>
      </c>
      <c r="G238" s="21" t="s">
        <v>918</v>
      </c>
      <c r="H238" s="21" t="s">
        <v>918</v>
      </c>
      <c r="I238" s="21" t="s">
        <v>697</v>
      </c>
      <c r="J238" s="22" t="s">
        <v>13</v>
      </c>
      <c r="K238" s="22"/>
      <c r="L238" s="22"/>
      <c r="M238" s="22"/>
      <c r="N238" s="22"/>
      <c r="O238" s="22"/>
      <c r="P238" s="21" t="s">
        <v>380</v>
      </c>
      <c r="Q238" s="21" t="s">
        <v>849</v>
      </c>
      <c r="R238" s="39" t="s">
        <v>849</v>
      </c>
      <c r="S238" s="39" t="s">
        <v>381</v>
      </c>
      <c r="T238" s="39"/>
      <c r="U238" s="23" t="s">
        <v>845</v>
      </c>
      <c r="V238" s="14" t="s">
        <v>16</v>
      </c>
      <c r="W238" s="23">
        <v>1</v>
      </c>
      <c r="X238" s="23"/>
      <c r="Y238" s="23"/>
      <c r="Z238" s="23"/>
      <c r="AA238" s="23">
        <v>1.9770000000000001</v>
      </c>
      <c r="AB238" s="37" t="s">
        <v>17</v>
      </c>
      <c r="AC238" s="23" t="s">
        <v>382</v>
      </c>
      <c r="AD238" s="23" t="s">
        <v>34</v>
      </c>
      <c r="AE238" s="23" t="s">
        <v>20</v>
      </c>
      <c r="AF238" s="23" t="s">
        <v>21</v>
      </c>
      <c r="AG238" s="11"/>
    </row>
    <row r="239" spans="1:33" s="12" customFormat="1" ht="21.95" hidden="1" customHeight="1">
      <c r="A239" s="16">
        <v>238</v>
      </c>
      <c r="B239" s="17">
        <v>12</v>
      </c>
      <c r="C239" s="17">
        <v>23045</v>
      </c>
      <c r="D239" s="17" t="s">
        <v>918</v>
      </c>
      <c r="E239" s="143"/>
      <c r="F239" s="21" t="s">
        <v>918</v>
      </c>
      <c r="G239" s="21" t="e">
        <f>VLOOKUP(P239,'CO F3'!$C$2:$M$108,7,FALSE)</f>
        <v>#N/A</v>
      </c>
      <c r="H239" s="21" t="e">
        <f>VLOOKUP(Q239,'CO F3'!$C$2:$M$108,7,FALSE)</f>
        <v>#N/A</v>
      </c>
      <c r="I239" s="17" t="s">
        <v>697</v>
      </c>
      <c r="J239" s="18"/>
      <c r="K239" s="18" t="s">
        <v>13</v>
      </c>
      <c r="L239" s="18"/>
      <c r="M239" s="18"/>
      <c r="N239" s="18"/>
      <c r="O239" s="18"/>
      <c r="P239" s="17" t="s">
        <v>383</v>
      </c>
      <c r="Q239" s="17" t="s">
        <v>864</v>
      </c>
      <c r="R239" s="40" t="s">
        <v>860</v>
      </c>
      <c r="S239" s="40" t="s">
        <v>381</v>
      </c>
      <c r="T239" s="40" t="s">
        <v>380</v>
      </c>
      <c r="U239" s="19" t="s">
        <v>384</v>
      </c>
      <c r="V239" s="13" t="s">
        <v>24</v>
      </c>
      <c r="W239" s="19">
        <v>1</v>
      </c>
      <c r="X239" s="19" t="s">
        <v>838</v>
      </c>
      <c r="Y239" s="19" t="s">
        <v>194</v>
      </c>
      <c r="Z239" s="19">
        <v>1.3</v>
      </c>
      <c r="AA239" s="19">
        <v>1.925</v>
      </c>
      <c r="AB239" s="44" t="s">
        <v>27</v>
      </c>
      <c r="AC239" s="19" t="s">
        <v>382</v>
      </c>
      <c r="AD239" s="19" t="s">
        <v>385</v>
      </c>
      <c r="AE239" s="19" t="s">
        <v>20</v>
      </c>
      <c r="AF239" s="19" t="s">
        <v>21</v>
      </c>
      <c r="AG239" s="11"/>
    </row>
    <row r="240" spans="1:33" s="12" customFormat="1" ht="21.95" hidden="1" customHeight="1">
      <c r="A240" s="31">
        <v>239</v>
      </c>
      <c r="B240" s="32">
        <v>12</v>
      </c>
      <c r="C240" s="32">
        <v>23045</v>
      </c>
      <c r="D240" s="32" t="s">
        <v>918</v>
      </c>
      <c r="E240" s="145"/>
      <c r="F240" s="21" t="s">
        <v>918</v>
      </c>
      <c r="G240" s="21" t="e">
        <f>VLOOKUP(P240,'CO F3'!$C$2:$M$108,7,FALSE)</f>
        <v>#N/A</v>
      </c>
      <c r="H240" s="21" t="e">
        <f>VLOOKUP(Q240,'CO F3'!$C$2:$M$108,7,FALSE)</f>
        <v>#N/A</v>
      </c>
      <c r="I240" s="32" t="s">
        <v>697</v>
      </c>
      <c r="J240" s="33"/>
      <c r="K240" s="33" t="s">
        <v>13</v>
      </c>
      <c r="L240" s="33"/>
      <c r="M240" s="33"/>
      <c r="N240" s="33"/>
      <c r="O240" s="33"/>
      <c r="P240" s="32" t="s">
        <v>386</v>
      </c>
      <c r="Q240" s="32" t="s">
        <v>849</v>
      </c>
      <c r="R240" s="42" t="s">
        <v>849</v>
      </c>
      <c r="S240" s="42" t="s">
        <v>381</v>
      </c>
      <c r="T240" s="42" t="s">
        <v>380</v>
      </c>
      <c r="U240" s="34" t="s">
        <v>387</v>
      </c>
      <c r="V240" s="35" t="s">
        <v>41</v>
      </c>
      <c r="W240" s="34">
        <v>1</v>
      </c>
      <c r="X240" s="34"/>
      <c r="Y240" s="34"/>
      <c r="Z240" s="34"/>
      <c r="AA240" s="34"/>
      <c r="AB240" s="37" t="s">
        <v>17</v>
      </c>
      <c r="AC240" s="34" t="s">
        <v>382</v>
      </c>
      <c r="AD240" s="34" t="s">
        <v>385</v>
      </c>
      <c r="AE240" s="34" t="s">
        <v>20</v>
      </c>
      <c r="AF240" s="34" t="s">
        <v>21</v>
      </c>
      <c r="AG240" s="11"/>
    </row>
    <row r="241" spans="1:33" s="12" customFormat="1" ht="21.95" hidden="1" customHeight="1">
      <c r="A241" s="16">
        <v>240</v>
      </c>
      <c r="B241" s="17">
        <v>12</v>
      </c>
      <c r="C241" s="17">
        <v>23045</v>
      </c>
      <c r="D241" s="17" t="s">
        <v>918</v>
      </c>
      <c r="E241" s="143"/>
      <c r="F241" s="21" t="s">
        <v>918</v>
      </c>
      <c r="G241" s="21" t="e">
        <f>VLOOKUP(P241,'CO F3'!$C$2:$M$108,7,FALSE)</f>
        <v>#N/A</v>
      </c>
      <c r="H241" s="21" t="e">
        <f>VLOOKUP(Q241,'CO F3'!$C$2:$M$108,7,FALSE)</f>
        <v>#N/A</v>
      </c>
      <c r="I241" s="17" t="s">
        <v>697</v>
      </c>
      <c r="J241" s="18"/>
      <c r="K241" s="18"/>
      <c r="L241" s="18" t="s">
        <v>13</v>
      </c>
      <c r="M241" s="18"/>
      <c r="N241" s="18"/>
      <c r="O241" s="18"/>
      <c r="P241" s="17" t="s">
        <v>388</v>
      </c>
      <c r="Q241" s="17" t="s">
        <v>864</v>
      </c>
      <c r="R241" s="40" t="s">
        <v>847</v>
      </c>
      <c r="S241" s="40" t="s">
        <v>381</v>
      </c>
      <c r="T241" s="40" t="s">
        <v>386</v>
      </c>
      <c r="U241" s="19" t="s">
        <v>389</v>
      </c>
      <c r="V241" s="13" t="s">
        <v>24</v>
      </c>
      <c r="W241" s="19">
        <v>2</v>
      </c>
      <c r="X241" s="19" t="s">
        <v>199</v>
      </c>
      <c r="Y241" s="19" t="s">
        <v>390</v>
      </c>
      <c r="Z241" s="19">
        <v>1.18</v>
      </c>
      <c r="AA241" s="19">
        <v>0.04</v>
      </c>
      <c r="AB241" s="37" t="s">
        <v>17</v>
      </c>
      <c r="AC241" s="19" t="s">
        <v>382</v>
      </c>
      <c r="AD241" s="19" t="s">
        <v>385</v>
      </c>
      <c r="AE241" s="19" t="s">
        <v>20</v>
      </c>
      <c r="AF241" s="19" t="s">
        <v>21</v>
      </c>
      <c r="AG241" s="11"/>
    </row>
    <row r="242" spans="1:33" s="12" customFormat="1" ht="21.95" hidden="1" customHeight="1">
      <c r="A242" s="24">
        <v>241</v>
      </c>
      <c r="B242" s="25">
        <v>12</v>
      </c>
      <c r="C242" s="25">
        <v>23045</v>
      </c>
      <c r="D242" s="25" t="s">
        <v>918</v>
      </c>
      <c r="E242" s="144"/>
      <c r="F242" s="21" t="s">
        <v>917</v>
      </c>
      <c r="G242" s="21" t="e">
        <f>VLOOKUP(P242,'CO F3'!$C$2:$M$108,7,FALSE)</f>
        <v>#N/A</v>
      </c>
      <c r="H242" s="21" t="e">
        <f>VLOOKUP(Q242,'CO F3'!$C$2:$M$108,7,FALSE)</f>
        <v>#N/A</v>
      </c>
      <c r="I242" s="25" t="s">
        <v>697</v>
      </c>
      <c r="J242" s="26"/>
      <c r="K242" s="26"/>
      <c r="L242" s="26" t="s">
        <v>13</v>
      </c>
      <c r="M242" s="26"/>
      <c r="N242" s="26"/>
      <c r="O242" s="26"/>
      <c r="P242" s="25">
        <v>7703042086</v>
      </c>
      <c r="Q242" s="25" t="s">
        <v>849</v>
      </c>
      <c r="R242" s="41" t="s">
        <v>849</v>
      </c>
      <c r="S242" s="41" t="s">
        <v>381</v>
      </c>
      <c r="T242" s="41" t="s">
        <v>386</v>
      </c>
      <c r="U242" s="27" t="s">
        <v>75</v>
      </c>
      <c r="V242" s="15" t="s">
        <v>29</v>
      </c>
      <c r="W242" s="27">
        <v>2</v>
      </c>
      <c r="X242" s="27"/>
      <c r="Y242" s="27"/>
      <c r="Z242" s="27"/>
      <c r="AA242" s="27">
        <v>1.2E-2</v>
      </c>
      <c r="AB242" s="38" t="s">
        <v>30</v>
      </c>
      <c r="AC242" s="27" t="s">
        <v>382</v>
      </c>
      <c r="AD242" s="27" t="s">
        <v>385</v>
      </c>
      <c r="AE242" s="27" t="s">
        <v>20</v>
      </c>
      <c r="AF242" s="27" t="s">
        <v>21</v>
      </c>
      <c r="AG242" s="11"/>
    </row>
    <row r="243" spans="1:33" s="12" customFormat="1" ht="21.95" hidden="1" customHeight="1">
      <c r="A243" s="20">
        <v>242</v>
      </c>
      <c r="B243" s="21">
        <v>12</v>
      </c>
      <c r="C243" s="21">
        <v>23045</v>
      </c>
      <c r="D243" s="21" t="s">
        <v>918</v>
      </c>
      <c r="E243" s="142"/>
      <c r="F243" s="21" t="s">
        <v>918</v>
      </c>
      <c r="G243" s="21" t="s">
        <v>918</v>
      </c>
      <c r="H243" s="21" t="s">
        <v>918</v>
      </c>
      <c r="I243" s="21" t="s">
        <v>697</v>
      </c>
      <c r="J243" s="22" t="s">
        <v>13</v>
      </c>
      <c r="K243" s="22"/>
      <c r="L243" s="22"/>
      <c r="M243" s="22"/>
      <c r="N243" s="22"/>
      <c r="O243" s="22"/>
      <c r="P243" s="21" t="s">
        <v>391</v>
      </c>
      <c r="Q243" s="21" t="s">
        <v>861</v>
      </c>
      <c r="R243" s="39" t="s">
        <v>847</v>
      </c>
      <c r="S243" s="39" t="s">
        <v>392</v>
      </c>
      <c r="T243" s="39"/>
      <c r="U243" s="23" t="s">
        <v>392</v>
      </c>
      <c r="V243" s="14" t="s">
        <v>16</v>
      </c>
      <c r="W243" s="23">
        <v>1</v>
      </c>
      <c r="X243" s="23"/>
      <c r="Y243" s="23"/>
      <c r="Z243" s="23"/>
      <c r="AA243" s="23">
        <v>2.427</v>
      </c>
      <c r="AB243" s="37" t="s">
        <v>17</v>
      </c>
      <c r="AC243" s="23" t="s">
        <v>382</v>
      </c>
      <c r="AD243" s="23" t="s">
        <v>19</v>
      </c>
      <c r="AE243" s="23" t="s">
        <v>20</v>
      </c>
      <c r="AF243" s="23" t="s">
        <v>21</v>
      </c>
      <c r="AG243" s="11"/>
    </row>
    <row r="244" spans="1:33" s="12" customFormat="1" ht="21.95" hidden="1" customHeight="1">
      <c r="A244" s="16">
        <v>243</v>
      </c>
      <c r="B244" s="17">
        <v>12</v>
      </c>
      <c r="C244" s="17">
        <v>23045</v>
      </c>
      <c r="D244" s="17" t="s">
        <v>918</v>
      </c>
      <c r="E244" s="143"/>
      <c r="F244" s="21" t="s">
        <v>918</v>
      </c>
      <c r="G244" s="21" t="e">
        <f>VLOOKUP(P244,'CO F3'!$C$2:$M$108,7,FALSE)</f>
        <v>#N/A</v>
      </c>
      <c r="H244" s="21" t="e">
        <f>VLOOKUP(Q244,'CO F3'!$C$2:$M$108,7,FALSE)</f>
        <v>#N/A</v>
      </c>
      <c r="I244" s="17" t="s">
        <v>697</v>
      </c>
      <c r="J244" s="18"/>
      <c r="K244" s="18" t="s">
        <v>13</v>
      </c>
      <c r="L244" s="18"/>
      <c r="M244" s="18"/>
      <c r="N244" s="18"/>
      <c r="O244" s="18"/>
      <c r="P244" s="17" t="s">
        <v>383</v>
      </c>
      <c r="Q244" s="17" t="s">
        <v>864</v>
      </c>
      <c r="R244" s="40" t="s">
        <v>860</v>
      </c>
      <c r="S244" s="40" t="s">
        <v>392</v>
      </c>
      <c r="T244" s="40" t="s">
        <v>391</v>
      </c>
      <c r="U244" s="19" t="s">
        <v>384</v>
      </c>
      <c r="V244" s="13" t="s">
        <v>24</v>
      </c>
      <c r="W244" s="19">
        <v>1</v>
      </c>
      <c r="X244" s="19" t="s">
        <v>838</v>
      </c>
      <c r="Y244" s="19" t="s">
        <v>194</v>
      </c>
      <c r="Z244" s="19">
        <v>1.3</v>
      </c>
      <c r="AA244" s="19">
        <v>1.925</v>
      </c>
      <c r="AB244" s="44" t="s">
        <v>27</v>
      </c>
      <c r="AC244" s="19" t="s">
        <v>382</v>
      </c>
      <c r="AD244" s="19" t="s">
        <v>385</v>
      </c>
      <c r="AE244" s="19" t="s">
        <v>20</v>
      </c>
      <c r="AF244" s="19" t="s">
        <v>21</v>
      </c>
      <c r="AG244" s="11"/>
    </row>
    <row r="245" spans="1:33" s="12" customFormat="1" ht="21.95" hidden="1" customHeight="1">
      <c r="A245" s="16">
        <v>244</v>
      </c>
      <c r="B245" s="17">
        <v>12</v>
      </c>
      <c r="C245" s="17">
        <v>23045</v>
      </c>
      <c r="D245" s="17" t="s">
        <v>918</v>
      </c>
      <c r="E245" s="143"/>
      <c r="F245" s="21" t="s">
        <v>888</v>
      </c>
      <c r="G245" s="21" t="str">
        <f>VLOOKUP(P245,'CO F3'!$C$2:$M$108,7,FALSE)</f>
        <v>MUSA PITESTI ROMANIA</v>
      </c>
      <c r="H245" s="21" t="e">
        <f>VLOOKUP(Q245,'CO F3'!$C$2:$M$108,7,FALSE)</f>
        <v>#N/A</v>
      </c>
      <c r="I245" s="17" t="s">
        <v>697</v>
      </c>
      <c r="J245" s="18"/>
      <c r="K245" s="18" t="s">
        <v>13</v>
      </c>
      <c r="L245" s="18"/>
      <c r="M245" s="18"/>
      <c r="N245" s="18"/>
      <c r="O245" s="18"/>
      <c r="P245" s="17" t="s">
        <v>393</v>
      </c>
      <c r="Q245" s="17" t="s">
        <v>849</v>
      </c>
      <c r="R245" s="40" t="s">
        <v>849</v>
      </c>
      <c r="S245" s="40" t="s">
        <v>392</v>
      </c>
      <c r="T245" s="40" t="s">
        <v>391</v>
      </c>
      <c r="U245" s="19" t="s">
        <v>394</v>
      </c>
      <c r="V245" s="13" t="s">
        <v>24</v>
      </c>
      <c r="W245" s="19">
        <v>1</v>
      </c>
      <c r="X245" s="19" t="s">
        <v>838</v>
      </c>
      <c r="Y245" s="19" t="s">
        <v>194</v>
      </c>
      <c r="Z245" s="19">
        <v>2</v>
      </c>
      <c r="AA245" s="19">
        <v>0.45</v>
      </c>
      <c r="AB245" s="38" t="s">
        <v>30</v>
      </c>
      <c r="AC245" s="19" t="s">
        <v>382</v>
      </c>
      <c r="AD245" s="19" t="s">
        <v>385</v>
      </c>
      <c r="AE245" s="19" t="s">
        <v>20</v>
      </c>
      <c r="AF245" s="19" t="s">
        <v>21</v>
      </c>
      <c r="AG245" s="11"/>
    </row>
    <row r="246" spans="1:33" s="12" customFormat="1" ht="21.95" hidden="1" customHeight="1">
      <c r="A246" s="31">
        <v>245</v>
      </c>
      <c r="B246" s="32">
        <v>12</v>
      </c>
      <c r="C246" s="32">
        <v>23045</v>
      </c>
      <c r="D246" s="32" t="s">
        <v>918</v>
      </c>
      <c r="E246" s="145"/>
      <c r="F246" s="21" t="s">
        <v>918</v>
      </c>
      <c r="G246" s="21" t="e">
        <f>VLOOKUP(P246,'CO F3'!$C$2:$M$108,7,FALSE)</f>
        <v>#N/A</v>
      </c>
      <c r="H246" s="21" t="e">
        <f>VLOOKUP(Q246,'CO F3'!$C$2:$M$108,7,FALSE)</f>
        <v>#N/A</v>
      </c>
      <c r="I246" s="32" t="s">
        <v>697</v>
      </c>
      <c r="J246" s="33"/>
      <c r="K246" s="33" t="s">
        <v>13</v>
      </c>
      <c r="L246" s="33"/>
      <c r="M246" s="33"/>
      <c r="N246" s="33"/>
      <c r="O246" s="33"/>
      <c r="P246" s="32" t="s">
        <v>386</v>
      </c>
      <c r="Q246" s="32" t="s">
        <v>849</v>
      </c>
      <c r="R246" s="42" t="s">
        <v>849</v>
      </c>
      <c r="S246" s="42" t="s">
        <v>392</v>
      </c>
      <c r="T246" s="42" t="s">
        <v>391</v>
      </c>
      <c r="U246" s="34" t="s">
        <v>387</v>
      </c>
      <c r="V246" s="35" t="s">
        <v>41</v>
      </c>
      <c r="W246" s="34">
        <v>1</v>
      </c>
      <c r="X246" s="34"/>
      <c r="Y246" s="34"/>
      <c r="Z246" s="34"/>
      <c r="AA246" s="34"/>
      <c r="AB246" s="37" t="s">
        <v>17</v>
      </c>
      <c r="AC246" s="34" t="s">
        <v>382</v>
      </c>
      <c r="AD246" s="34" t="s">
        <v>385</v>
      </c>
      <c r="AE246" s="34" t="s">
        <v>20</v>
      </c>
      <c r="AF246" s="34" t="s">
        <v>21</v>
      </c>
      <c r="AG246" s="11"/>
    </row>
    <row r="247" spans="1:33" s="12" customFormat="1" ht="21.95" hidden="1" customHeight="1">
      <c r="A247" s="16">
        <v>246</v>
      </c>
      <c r="B247" s="17">
        <v>12</v>
      </c>
      <c r="C247" s="17">
        <v>23045</v>
      </c>
      <c r="D247" s="17" t="s">
        <v>918</v>
      </c>
      <c r="E247" s="143"/>
      <c r="F247" s="21" t="s">
        <v>918</v>
      </c>
      <c r="G247" s="21" t="e">
        <f>VLOOKUP(P247,'CO F3'!$C$2:$M$108,7,FALSE)</f>
        <v>#N/A</v>
      </c>
      <c r="H247" s="21" t="e">
        <f>VLOOKUP(Q247,'CO F3'!$C$2:$M$108,7,FALSE)</f>
        <v>#N/A</v>
      </c>
      <c r="I247" s="17" t="s">
        <v>697</v>
      </c>
      <c r="J247" s="18"/>
      <c r="K247" s="18"/>
      <c r="L247" s="18" t="s">
        <v>13</v>
      </c>
      <c r="M247" s="18"/>
      <c r="N247" s="18"/>
      <c r="O247" s="18"/>
      <c r="P247" s="17" t="s">
        <v>388</v>
      </c>
      <c r="Q247" s="17" t="s">
        <v>864</v>
      </c>
      <c r="R247" s="40" t="s">
        <v>847</v>
      </c>
      <c r="S247" s="40" t="s">
        <v>392</v>
      </c>
      <c r="T247" s="40" t="s">
        <v>386</v>
      </c>
      <c r="U247" s="19" t="s">
        <v>389</v>
      </c>
      <c r="V247" s="13" t="s">
        <v>24</v>
      </c>
      <c r="W247" s="19">
        <v>2</v>
      </c>
      <c r="X247" s="19" t="s">
        <v>199</v>
      </c>
      <c r="Y247" s="19" t="s">
        <v>390</v>
      </c>
      <c r="Z247" s="19">
        <v>1.18</v>
      </c>
      <c r="AA247" s="19">
        <v>0.04</v>
      </c>
      <c r="AB247" s="37" t="s">
        <v>17</v>
      </c>
      <c r="AC247" s="19" t="s">
        <v>382</v>
      </c>
      <c r="AD247" s="19" t="s">
        <v>385</v>
      </c>
      <c r="AE247" s="19" t="s">
        <v>20</v>
      </c>
      <c r="AF247" s="19" t="s">
        <v>21</v>
      </c>
      <c r="AG247" s="11"/>
    </row>
    <row r="248" spans="1:33" s="12" customFormat="1" ht="21.95" hidden="1" customHeight="1">
      <c r="A248" s="24">
        <v>247</v>
      </c>
      <c r="B248" s="25">
        <v>12</v>
      </c>
      <c r="C248" s="25">
        <v>23045</v>
      </c>
      <c r="D248" s="25" t="s">
        <v>918</v>
      </c>
      <c r="E248" s="144"/>
      <c r="F248" s="21" t="s">
        <v>917</v>
      </c>
      <c r="G248" s="21" t="e">
        <f>VLOOKUP(P248,'CO F3'!$C$2:$M$108,7,FALSE)</f>
        <v>#N/A</v>
      </c>
      <c r="H248" s="21" t="e">
        <f>VLOOKUP(Q248,'CO F3'!$C$2:$M$108,7,FALSE)</f>
        <v>#N/A</v>
      </c>
      <c r="I248" s="25" t="s">
        <v>697</v>
      </c>
      <c r="J248" s="26"/>
      <c r="K248" s="26"/>
      <c r="L248" s="26" t="s">
        <v>13</v>
      </c>
      <c r="M248" s="26"/>
      <c r="N248" s="26"/>
      <c r="O248" s="26"/>
      <c r="P248" s="25">
        <v>7703042086</v>
      </c>
      <c r="Q248" s="25" t="s">
        <v>849</v>
      </c>
      <c r="R248" s="41" t="s">
        <v>849</v>
      </c>
      <c r="S248" s="41" t="s">
        <v>392</v>
      </c>
      <c r="T248" s="41" t="s">
        <v>386</v>
      </c>
      <c r="U248" s="27" t="s">
        <v>75</v>
      </c>
      <c r="V248" s="15" t="s">
        <v>29</v>
      </c>
      <c r="W248" s="27">
        <v>2</v>
      </c>
      <c r="X248" s="27"/>
      <c r="Y248" s="27"/>
      <c r="Z248" s="27"/>
      <c r="AA248" s="27">
        <v>1.2E-2</v>
      </c>
      <c r="AB248" s="38" t="s">
        <v>30</v>
      </c>
      <c r="AC248" s="27" t="s">
        <v>382</v>
      </c>
      <c r="AD248" s="27" t="s">
        <v>385</v>
      </c>
      <c r="AE248" s="27" t="s">
        <v>20</v>
      </c>
      <c r="AF248" s="27" t="s">
        <v>21</v>
      </c>
      <c r="AG248" s="11"/>
    </row>
    <row r="249" spans="1:33" s="12" customFormat="1" ht="21.95" hidden="1" customHeight="1">
      <c r="A249" s="20">
        <v>248</v>
      </c>
      <c r="B249" s="21">
        <v>12</v>
      </c>
      <c r="C249" s="21">
        <v>22969</v>
      </c>
      <c r="D249" s="21" t="s">
        <v>918</v>
      </c>
      <c r="E249" s="142"/>
      <c r="F249" s="21" t="s">
        <v>918</v>
      </c>
      <c r="G249" s="21" t="s">
        <v>918</v>
      </c>
      <c r="H249" s="21" t="s">
        <v>918</v>
      </c>
      <c r="I249" s="21" t="s">
        <v>697</v>
      </c>
      <c r="J249" s="22" t="s">
        <v>13</v>
      </c>
      <c r="K249" s="22"/>
      <c r="L249" s="22"/>
      <c r="M249" s="22"/>
      <c r="N249" s="22"/>
      <c r="O249" s="22"/>
      <c r="P249" s="21" t="s">
        <v>395</v>
      </c>
      <c r="Q249" s="21" t="s">
        <v>849</v>
      </c>
      <c r="R249" s="39" t="s">
        <v>849</v>
      </c>
      <c r="S249" s="39" t="s">
        <v>396</v>
      </c>
      <c r="T249" s="39"/>
      <c r="U249" s="23" t="s">
        <v>396</v>
      </c>
      <c r="V249" s="14" t="s">
        <v>16</v>
      </c>
      <c r="W249" s="23">
        <v>1</v>
      </c>
      <c r="X249" s="23"/>
      <c r="Y249" s="23"/>
      <c r="Z249" s="23"/>
      <c r="AA249" s="23">
        <v>5.3769999999999989</v>
      </c>
      <c r="AB249" s="37" t="s">
        <v>17</v>
      </c>
      <c r="AC249" s="43" t="s">
        <v>397</v>
      </c>
      <c r="AD249" s="43" t="s">
        <v>19</v>
      </c>
      <c r="AE249" s="43" t="s">
        <v>20</v>
      </c>
      <c r="AF249" s="43" t="s">
        <v>138</v>
      </c>
      <c r="AG249" s="11"/>
    </row>
    <row r="250" spans="1:33" s="12" customFormat="1" ht="21.95" hidden="1" customHeight="1">
      <c r="A250" s="31">
        <v>249</v>
      </c>
      <c r="B250" s="32">
        <v>12</v>
      </c>
      <c r="C250" s="32">
        <v>22969</v>
      </c>
      <c r="D250" s="32" t="s">
        <v>918</v>
      </c>
      <c r="E250" s="145"/>
      <c r="F250" s="21" t="s">
        <v>881</v>
      </c>
      <c r="G250" s="21" t="str">
        <f>VLOOKUP(P250,'CO F3'!$C$2:$M$108,7,FALSE)</f>
        <v>GMD METAL TANGER</v>
      </c>
      <c r="H250" s="21" t="e">
        <f>VLOOKUP(Q250,'CO F3'!$C$2:$M$108,7,FALSE)</f>
        <v>#N/A</v>
      </c>
      <c r="I250" s="32" t="s">
        <v>697</v>
      </c>
      <c r="J250" s="33"/>
      <c r="K250" s="33" t="s">
        <v>13</v>
      </c>
      <c r="L250" s="33"/>
      <c r="M250" s="33"/>
      <c r="N250" s="33"/>
      <c r="O250" s="33"/>
      <c r="P250" s="32" t="s">
        <v>398</v>
      </c>
      <c r="Q250" s="32" t="s">
        <v>849</v>
      </c>
      <c r="R250" s="42" t="s">
        <v>849</v>
      </c>
      <c r="S250" s="42" t="s">
        <v>396</v>
      </c>
      <c r="T250" s="42" t="s">
        <v>395</v>
      </c>
      <c r="U250" s="34" t="s">
        <v>399</v>
      </c>
      <c r="V250" s="35" t="s">
        <v>41</v>
      </c>
      <c r="W250" s="34">
        <v>1</v>
      </c>
      <c r="X250" s="34"/>
      <c r="Y250" s="34"/>
      <c r="Z250" s="34"/>
      <c r="AA250" s="34">
        <v>0</v>
      </c>
      <c r="AB250" s="38" t="s">
        <v>30</v>
      </c>
      <c r="AC250" s="34" t="s">
        <v>397</v>
      </c>
      <c r="AD250" s="34" t="s">
        <v>19</v>
      </c>
      <c r="AE250" s="34" t="s">
        <v>20</v>
      </c>
      <c r="AF250" s="34" t="s">
        <v>138</v>
      </c>
      <c r="AG250" s="11"/>
    </row>
    <row r="251" spans="1:33" s="12" customFormat="1" ht="21.95" hidden="1" customHeight="1">
      <c r="A251" s="16">
        <v>250</v>
      </c>
      <c r="B251" s="17">
        <v>12</v>
      </c>
      <c r="C251" s="17">
        <v>22969</v>
      </c>
      <c r="D251" s="17" t="s">
        <v>918</v>
      </c>
      <c r="E251" s="143"/>
      <c r="F251" s="21" t="s">
        <v>881</v>
      </c>
      <c r="G251" s="21" t="e">
        <f>VLOOKUP(P251,'CO F3'!$C$2:$M$108,7,FALSE)</f>
        <v>#N/A</v>
      </c>
      <c r="H251" s="21" t="e">
        <f>VLOOKUP(Q251,'CO F3'!$C$2:$M$108,7,FALSE)</f>
        <v>#N/A</v>
      </c>
      <c r="I251" s="17" t="s">
        <v>697</v>
      </c>
      <c r="J251" s="18"/>
      <c r="K251" s="18"/>
      <c r="L251" s="18" t="s">
        <v>13</v>
      </c>
      <c r="M251" s="18"/>
      <c r="N251" s="18"/>
      <c r="O251" s="18"/>
      <c r="P251" s="17" t="s">
        <v>400</v>
      </c>
      <c r="Q251" s="17" t="s">
        <v>849</v>
      </c>
      <c r="R251" s="40" t="s">
        <v>849</v>
      </c>
      <c r="S251" s="40" t="s">
        <v>396</v>
      </c>
      <c r="T251" s="40" t="s">
        <v>398</v>
      </c>
      <c r="U251" s="19" t="s">
        <v>401</v>
      </c>
      <c r="V251" s="13" t="s">
        <v>24</v>
      </c>
      <c r="W251" s="19">
        <v>1</v>
      </c>
      <c r="X251" s="19" t="s">
        <v>25</v>
      </c>
      <c r="Y251" s="19" t="s">
        <v>134</v>
      </c>
      <c r="Z251" s="19">
        <v>1.2</v>
      </c>
      <c r="AA251" s="19">
        <v>0.04</v>
      </c>
      <c r="AB251" s="38" t="s">
        <v>30</v>
      </c>
      <c r="AC251" s="19" t="s">
        <v>397</v>
      </c>
      <c r="AD251" s="19" t="s">
        <v>19</v>
      </c>
      <c r="AE251" s="19" t="s">
        <v>20</v>
      </c>
      <c r="AF251" s="19" t="s">
        <v>138</v>
      </c>
      <c r="AG251" s="11"/>
    </row>
    <row r="252" spans="1:33" s="12" customFormat="1" ht="21.95" hidden="1" customHeight="1">
      <c r="A252" s="24">
        <v>251</v>
      </c>
      <c r="B252" s="25">
        <v>12</v>
      </c>
      <c r="C252" s="25">
        <v>22969</v>
      </c>
      <c r="D252" s="25" t="s">
        <v>918</v>
      </c>
      <c r="E252" s="144"/>
      <c r="F252" s="21" t="s">
        <v>881</v>
      </c>
      <c r="G252" s="21" t="e">
        <f>VLOOKUP(P252,'CO F3'!$C$2:$M$108,7,FALSE)</f>
        <v>#N/A</v>
      </c>
      <c r="H252" s="21" t="e">
        <f>VLOOKUP(Q252,'CO F3'!$C$2:$M$108,7,FALSE)</f>
        <v>#N/A</v>
      </c>
      <c r="I252" s="25" t="s">
        <v>697</v>
      </c>
      <c r="J252" s="26"/>
      <c r="K252" s="26"/>
      <c r="L252" s="26" t="s">
        <v>13</v>
      </c>
      <c r="M252" s="26"/>
      <c r="N252" s="26"/>
      <c r="O252" s="26"/>
      <c r="P252" s="25">
        <v>7703011300</v>
      </c>
      <c r="Q252" s="25" t="s">
        <v>849</v>
      </c>
      <c r="R252" s="41" t="s">
        <v>849</v>
      </c>
      <c r="S252" s="41" t="s">
        <v>396</v>
      </c>
      <c r="T252" s="41" t="s">
        <v>398</v>
      </c>
      <c r="U252" s="27" t="s">
        <v>158</v>
      </c>
      <c r="V252" s="15" t="s">
        <v>29</v>
      </c>
      <c r="W252" s="27">
        <v>1</v>
      </c>
      <c r="X252" s="27"/>
      <c r="Y252" s="27"/>
      <c r="Z252" s="27"/>
      <c r="AA252" s="27">
        <v>2E-3</v>
      </c>
      <c r="AB252" s="38" t="s">
        <v>30</v>
      </c>
      <c r="AC252" s="27" t="s">
        <v>397</v>
      </c>
      <c r="AD252" s="27" t="s">
        <v>19</v>
      </c>
      <c r="AE252" s="27" t="s">
        <v>20</v>
      </c>
      <c r="AF252" s="27" t="s">
        <v>138</v>
      </c>
      <c r="AG252" s="11"/>
    </row>
    <row r="253" spans="1:33" s="12" customFormat="1" ht="21.95" hidden="1" customHeight="1">
      <c r="A253" s="16">
        <v>252</v>
      </c>
      <c r="B253" s="17">
        <v>12</v>
      </c>
      <c r="C253" s="17">
        <v>22969</v>
      </c>
      <c r="D253" s="17" t="s">
        <v>918</v>
      </c>
      <c r="E253" s="143"/>
      <c r="F253" s="21" t="s">
        <v>902</v>
      </c>
      <c r="G253" s="21" t="str">
        <f>VLOOKUP(P253,'CO F3'!$C$2:$M$108,7,FALSE)</f>
        <v>Romaine plant (MOP)</v>
      </c>
      <c r="H253" s="21" t="e">
        <f>VLOOKUP(Q253,'CO F3'!$C$2:$M$108,7,FALSE)</f>
        <v>#N/A</v>
      </c>
      <c r="I253" s="17" t="s">
        <v>697</v>
      </c>
      <c r="J253" s="18"/>
      <c r="K253" s="18" t="s">
        <v>13</v>
      </c>
      <c r="L253" s="18"/>
      <c r="M253" s="18"/>
      <c r="N253" s="18"/>
      <c r="O253" s="18"/>
      <c r="P253" s="101" t="s">
        <v>402</v>
      </c>
      <c r="Q253" s="17" t="s">
        <v>870</v>
      </c>
      <c r="R253" s="40" t="s">
        <v>847</v>
      </c>
      <c r="S253" s="40" t="s">
        <v>396</v>
      </c>
      <c r="T253" s="40" t="s">
        <v>395</v>
      </c>
      <c r="U253" s="19" t="s">
        <v>403</v>
      </c>
      <c r="V253" s="13" t="s">
        <v>24</v>
      </c>
      <c r="W253" s="19">
        <v>1</v>
      </c>
      <c r="X253" s="19" t="s">
        <v>367</v>
      </c>
      <c r="Y253" s="19" t="s">
        <v>26</v>
      </c>
      <c r="Z253" s="19">
        <v>1.2</v>
      </c>
      <c r="AA253" s="19">
        <v>3.9009999999999998</v>
      </c>
      <c r="AB253" s="38" t="s">
        <v>30</v>
      </c>
      <c r="AC253" s="19" t="s">
        <v>397</v>
      </c>
      <c r="AD253" s="19" t="s">
        <v>19</v>
      </c>
      <c r="AE253" s="19" t="s">
        <v>20</v>
      </c>
      <c r="AF253" s="19" t="s">
        <v>138</v>
      </c>
      <c r="AG253" s="11"/>
    </row>
    <row r="254" spans="1:33" s="12" customFormat="1" ht="21.95" hidden="1" customHeight="1">
      <c r="A254" s="16">
        <v>253</v>
      </c>
      <c r="B254" s="17">
        <v>12</v>
      </c>
      <c r="C254" s="17">
        <v>22969</v>
      </c>
      <c r="D254" s="17" t="s">
        <v>918</v>
      </c>
      <c r="E254" s="143"/>
      <c r="F254" s="21" t="s">
        <v>918</v>
      </c>
      <c r="G254" s="21" t="e">
        <f>VLOOKUP(P254,'CO F3'!$C$2:$M$108,7,FALSE)</f>
        <v>#N/A</v>
      </c>
      <c r="H254" s="21" t="e">
        <f>VLOOKUP(Q254,'CO F3'!$C$2:$M$108,7,FALSE)</f>
        <v>#N/A</v>
      </c>
      <c r="I254" s="17" t="s">
        <v>697</v>
      </c>
      <c r="J254" s="18"/>
      <c r="K254" s="18" t="s">
        <v>13</v>
      </c>
      <c r="L254" s="18"/>
      <c r="M254" s="18"/>
      <c r="N254" s="18"/>
      <c r="O254" s="18"/>
      <c r="P254" s="101" t="s">
        <v>404</v>
      </c>
      <c r="Q254" s="17" t="s">
        <v>866</v>
      </c>
      <c r="R254" s="40" t="s">
        <v>847</v>
      </c>
      <c r="S254" s="40" t="s">
        <v>396</v>
      </c>
      <c r="T254" s="40" t="s">
        <v>395</v>
      </c>
      <c r="U254" s="19" t="s">
        <v>405</v>
      </c>
      <c r="V254" s="13" t="s">
        <v>24</v>
      </c>
      <c r="W254" s="19">
        <v>1</v>
      </c>
      <c r="X254" s="19" t="s">
        <v>141</v>
      </c>
      <c r="Y254" s="19" t="s">
        <v>134</v>
      </c>
      <c r="Z254" s="19">
        <v>0.94</v>
      </c>
      <c r="AA254" s="19">
        <v>0.39</v>
      </c>
      <c r="AB254" s="37" t="s">
        <v>17</v>
      </c>
      <c r="AC254" s="19" t="s">
        <v>397</v>
      </c>
      <c r="AD254" s="19" t="s">
        <v>19</v>
      </c>
      <c r="AE254" s="19" t="s">
        <v>20</v>
      </c>
      <c r="AF254" s="19" t="s">
        <v>138</v>
      </c>
      <c r="AG254" s="11"/>
    </row>
    <row r="255" spans="1:33" s="12" customFormat="1" ht="21.95" hidden="1" customHeight="1">
      <c r="A255" s="16">
        <v>254</v>
      </c>
      <c r="B255" s="17">
        <v>12</v>
      </c>
      <c r="C255" s="17">
        <v>22969</v>
      </c>
      <c r="D255" s="17" t="s">
        <v>918</v>
      </c>
      <c r="E255" s="143"/>
      <c r="F255" s="21" t="s">
        <v>918</v>
      </c>
      <c r="G255" s="21" t="e">
        <f>VLOOKUP(P255,'CO F3'!$C$2:$M$108,7,FALSE)</f>
        <v>#N/A</v>
      </c>
      <c r="H255" s="21" t="e">
        <f>VLOOKUP(Q255,'CO F3'!$C$2:$M$108,7,FALSE)</f>
        <v>#N/A</v>
      </c>
      <c r="I255" s="17" t="s">
        <v>697</v>
      </c>
      <c r="J255" s="18"/>
      <c r="K255" s="18" t="s">
        <v>13</v>
      </c>
      <c r="L255" s="18"/>
      <c r="M255" s="18"/>
      <c r="N255" s="18"/>
      <c r="O255" s="18"/>
      <c r="P255" s="101" t="s">
        <v>406</v>
      </c>
      <c r="Q255" s="17" t="s">
        <v>866</v>
      </c>
      <c r="R255" s="40" t="s">
        <v>847</v>
      </c>
      <c r="S255" s="40" t="s">
        <v>396</v>
      </c>
      <c r="T255" s="40" t="s">
        <v>395</v>
      </c>
      <c r="U255" s="19" t="s">
        <v>407</v>
      </c>
      <c r="V255" s="13" t="s">
        <v>24</v>
      </c>
      <c r="W255" s="19">
        <v>1</v>
      </c>
      <c r="X255" s="19" t="s">
        <v>141</v>
      </c>
      <c r="Y255" s="19" t="s">
        <v>134</v>
      </c>
      <c r="Z255" s="19">
        <v>0.94</v>
      </c>
      <c r="AA255" s="19">
        <v>0.39</v>
      </c>
      <c r="AB255" s="37" t="s">
        <v>17</v>
      </c>
      <c r="AC255" s="19" t="s">
        <v>397</v>
      </c>
      <c r="AD255" s="19" t="s">
        <v>19</v>
      </c>
      <c r="AE255" s="19" t="s">
        <v>20</v>
      </c>
      <c r="AF255" s="19" t="s">
        <v>138</v>
      </c>
      <c r="AG255" s="11"/>
    </row>
    <row r="256" spans="1:33" s="12" customFormat="1" ht="21.95" hidden="1" customHeight="1">
      <c r="A256" s="16">
        <v>255</v>
      </c>
      <c r="B256" s="17">
        <v>12</v>
      </c>
      <c r="C256" s="17">
        <v>22969</v>
      </c>
      <c r="D256" s="17" t="s">
        <v>918</v>
      </c>
      <c r="E256" s="143"/>
      <c r="F256" s="21" t="s">
        <v>918</v>
      </c>
      <c r="G256" s="21" t="e">
        <f>VLOOKUP(P256,'CO F3'!$C$2:$M$108,7,FALSE)</f>
        <v>#N/A</v>
      </c>
      <c r="H256" s="21" t="e">
        <f>VLOOKUP(Q256,'CO F3'!$C$2:$M$108,7,FALSE)</f>
        <v>#N/A</v>
      </c>
      <c r="I256" s="17" t="s">
        <v>697</v>
      </c>
      <c r="J256" s="18"/>
      <c r="K256" s="18" t="s">
        <v>13</v>
      </c>
      <c r="L256" s="18"/>
      <c r="M256" s="18"/>
      <c r="N256" s="18"/>
      <c r="O256" s="18"/>
      <c r="P256" s="101" t="s">
        <v>408</v>
      </c>
      <c r="Q256" s="17" t="s">
        <v>866</v>
      </c>
      <c r="R256" s="40" t="s">
        <v>847</v>
      </c>
      <c r="S256" s="40" t="s">
        <v>396</v>
      </c>
      <c r="T256" s="40" t="s">
        <v>395</v>
      </c>
      <c r="U256" s="19" t="s">
        <v>409</v>
      </c>
      <c r="V256" s="13" t="s">
        <v>24</v>
      </c>
      <c r="W256" s="19">
        <v>1</v>
      </c>
      <c r="X256" s="19" t="s">
        <v>141</v>
      </c>
      <c r="Y256" s="19" t="s">
        <v>134</v>
      </c>
      <c r="Z256" s="19">
        <v>0.94</v>
      </c>
      <c r="AA256" s="19">
        <v>0.37</v>
      </c>
      <c r="AB256" s="37" t="s">
        <v>17</v>
      </c>
      <c r="AC256" s="19" t="s">
        <v>397</v>
      </c>
      <c r="AD256" s="19" t="s">
        <v>19</v>
      </c>
      <c r="AE256" s="19" t="s">
        <v>20</v>
      </c>
      <c r="AF256" s="19" t="s">
        <v>138</v>
      </c>
      <c r="AG256" s="11"/>
    </row>
    <row r="257" spans="1:33" s="12" customFormat="1" ht="21.95" hidden="1" customHeight="1">
      <c r="A257" s="24">
        <v>256</v>
      </c>
      <c r="B257" s="25">
        <v>12</v>
      </c>
      <c r="C257" s="25">
        <v>22969</v>
      </c>
      <c r="D257" s="25" t="s">
        <v>918</v>
      </c>
      <c r="E257" s="144"/>
      <c r="F257" s="21" t="s">
        <v>917</v>
      </c>
      <c r="G257" s="21" t="e">
        <f>VLOOKUP(P257,'CO F3'!$C$2:$M$108,7,FALSE)</f>
        <v>#N/A</v>
      </c>
      <c r="H257" s="21" t="e">
        <f>VLOOKUP(Q257,'CO F3'!$C$2:$M$108,7,FALSE)</f>
        <v>#N/A</v>
      </c>
      <c r="I257" s="25" t="s">
        <v>697</v>
      </c>
      <c r="J257" s="26"/>
      <c r="K257" s="26" t="s">
        <v>13</v>
      </c>
      <c r="L257" s="26"/>
      <c r="M257" s="26"/>
      <c r="N257" s="26"/>
      <c r="O257" s="26"/>
      <c r="P257" s="25" t="s">
        <v>410</v>
      </c>
      <c r="Q257" s="25" t="s">
        <v>849</v>
      </c>
      <c r="R257" s="41" t="s">
        <v>849</v>
      </c>
      <c r="S257" s="41" t="s">
        <v>396</v>
      </c>
      <c r="T257" s="41" t="s">
        <v>395</v>
      </c>
      <c r="U257" s="27" t="s">
        <v>411</v>
      </c>
      <c r="V257" s="15" t="s">
        <v>29</v>
      </c>
      <c r="W257" s="27">
        <v>14</v>
      </c>
      <c r="X257" s="27"/>
      <c r="Y257" s="27"/>
      <c r="Z257" s="27"/>
      <c r="AA257" s="27">
        <v>5.6000000000000001E-2</v>
      </c>
      <c r="AB257" s="38" t="s">
        <v>30</v>
      </c>
      <c r="AC257" s="27" t="s">
        <v>397</v>
      </c>
      <c r="AD257" s="27" t="s">
        <v>19</v>
      </c>
      <c r="AE257" s="27" t="s">
        <v>20</v>
      </c>
      <c r="AF257" s="27" t="s">
        <v>138</v>
      </c>
      <c r="AG257" s="11"/>
    </row>
    <row r="258" spans="1:33" s="12" customFormat="1" ht="21.95" hidden="1" customHeight="1">
      <c r="A258" s="31">
        <v>257</v>
      </c>
      <c r="B258" s="32">
        <v>12</v>
      </c>
      <c r="C258" s="32">
        <v>22969</v>
      </c>
      <c r="D258" s="32" t="s">
        <v>918</v>
      </c>
      <c r="E258" s="145"/>
      <c r="F258" s="21" t="s">
        <v>881</v>
      </c>
      <c r="G258" s="21" t="str">
        <f>VLOOKUP(P258,'CO F3'!$C$2:$M$108,7,FALSE)</f>
        <v>GMD METAL TANGER</v>
      </c>
      <c r="H258" s="21" t="e">
        <f>VLOOKUP(Q258,'CO F3'!$C$2:$M$108,7,FALSE)</f>
        <v>#N/A</v>
      </c>
      <c r="I258" s="32" t="s">
        <v>697</v>
      </c>
      <c r="J258" s="33"/>
      <c r="K258" s="33" t="s">
        <v>13</v>
      </c>
      <c r="L258" s="33"/>
      <c r="M258" s="33"/>
      <c r="N258" s="33"/>
      <c r="O258" s="33"/>
      <c r="P258" s="32" t="s">
        <v>412</v>
      </c>
      <c r="Q258" s="32" t="s">
        <v>849</v>
      </c>
      <c r="R258" s="42" t="s">
        <v>849</v>
      </c>
      <c r="S258" s="42" t="s">
        <v>396</v>
      </c>
      <c r="T258" s="42" t="s">
        <v>395</v>
      </c>
      <c r="U258" s="34" t="s">
        <v>413</v>
      </c>
      <c r="V258" s="35" t="s">
        <v>41</v>
      </c>
      <c r="W258" s="34">
        <v>1</v>
      </c>
      <c r="X258" s="34"/>
      <c r="Y258" s="34"/>
      <c r="Z258" s="34"/>
      <c r="AA258" s="34">
        <v>0</v>
      </c>
      <c r="AB258" s="38" t="s">
        <v>30</v>
      </c>
      <c r="AC258" s="34" t="s">
        <v>397</v>
      </c>
      <c r="AD258" s="34" t="s">
        <v>19</v>
      </c>
      <c r="AE258" s="34" t="s">
        <v>20</v>
      </c>
      <c r="AF258" s="34" t="s">
        <v>138</v>
      </c>
      <c r="AG258" s="11"/>
    </row>
    <row r="259" spans="1:33" s="12" customFormat="1" ht="21.95" hidden="1" customHeight="1">
      <c r="A259" s="16">
        <v>258</v>
      </c>
      <c r="B259" s="17">
        <v>12</v>
      </c>
      <c r="C259" s="17">
        <v>22969</v>
      </c>
      <c r="D259" s="17" t="s">
        <v>918</v>
      </c>
      <c r="E259" s="143"/>
      <c r="F259" s="21" t="s">
        <v>881</v>
      </c>
      <c r="G259" s="21" t="e">
        <f>VLOOKUP(P259,'CO F3'!$C$2:$M$108,7,FALSE)</f>
        <v>#N/A</v>
      </c>
      <c r="H259" s="21" t="e">
        <f>VLOOKUP(Q259,'CO F3'!$C$2:$M$108,7,FALSE)</f>
        <v>#N/A</v>
      </c>
      <c r="I259" s="17" t="s">
        <v>697</v>
      </c>
      <c r="J259" s="18"/>
      <c r="K259" s="18"/>
      <c r="L259" s="18" t="s">
        <v>13</v>
      </c>
      <c r="M259" s="18"/>
      <c r="N259" s="18"/>
      <c r="O259" s="18"/>
      <c r="P259" s="17" t="s">
        <v>414</v>
      </c>
      <c r="Q259" s="17" t="s">
        <v>849</v>
      </c>
      <c r="R259" s="40" t="s">
        <v>849</v>
      </c>
      <c r="S259" s="40" t="s">
        <v>396</v>
      </c>
      <c r="T259" s="40" t="s">
        <v>412</v>
      </c>
      <c r="U259" s="19" t="s">
        <v>415</v>
      </c>
      <c r="V259" s="13" t="s">
        <v>24</v>
      </c>
      <c r="W259" s="19">
        <v>1</v>
      </c>
      <c r="X259" s="19" t="s">
        <v>25</v>
      </c>
      <c r="Y259" s="19" t="s">
        <v>134</v>
      </c>
      <c r="Z259" s="19">
        <v>1.5</v>
      </c>
      <c r="AA259" s="19">
        <v>0.21</v>
      </c>
      <c r="AB259" s="38" t="s">
        <v>30</v>
      </c>
      <c r="AC259" s="19" t="s">
        <v>397</v>
      </c>
      <c r="AD259" s="19" t="s">
        <v>19</v>
      </c>
      <c r="AE259" s="19" t="s">
        <v>20</v>
      </c>
      <c r="AF259" s="19" t="s">
        <v>138</v>
      </c>
      <c r="AG259" s="11"/>
    </row>
    <row r="260" spans="1:33" s="12" customFormat="1" ht="21.95" hidden="1" customHeight="1">
      <c r="A260" s="24">
        <v>259</v>
      </c>
      <c r="B260" s="25">
        <v>12</v>
      </c>
      <c r="C260" s="25">
        <v>22969</v>
      </c>
      <c r="D260" s="25" t="s">
        <v>918</v>
      </c>
      <c r="E260" s="144"/>
      <c r="F260" s="21" t="s">
        <v>881</v>
      </c>
      <c r="G260" s="21" t="e">
        <f>VLOOKUP(P260,'CO F3'!$C$2:$M$108,7,FALSE)</f>
        <v>#N/A</v>
      </c>
      <c r="H260" s="21" t="e">
        <f>VLOOKUP(Q260,'CO F3'!$C$2:$M$108,7,FALSE)</f>
        <v>#N/A</v>
      </c>
      <c r="I260" s="25" t="s">
        <v>697</v>
      </c>
      <c r="J260" s="26"/>
      <c r="K260" s="26"/>
      <c r="L260" s="26" t="s">
        <v>13</v>
      </c>
      <c r="M260" s="26"/>
      <c r="N260" s="26"/>
      <c r="O260" s="26"/>
      <c r="P260" s="25">
        <v>7703042121</v>
      </c>
      <c r="Q260" s="25" t="s">
        <v>849</v>
      </c>
      <c r="R260" s="41" t="s">
        <v>849</v>
      </c>
      <c r="S260" s="41" t="s">
        <v>396</v>
      </c>
      <c r="T260" s="41" t="s">
        <v>412</v>
      </c>
      <c r="U260" s="27" t="s">
        <v>111</v>
      </c>
      <c r="V260" s="15" t="s">
        <v>29</v>
      </c>
      <c r="W260" s="27">
        <v>1</v>
      </c>
      <c r="X260" s="27"/>
      <c r="Y260" s="27"/>
      <c r="Z260" s="27"/>
      <c r="AA260" s="27">
        <v>1.7999999999999999E-2</v>
      </c>
      <c r="AB260" s="38" t="s">
        <v>30</v>
      </c>
      <c r="AC260" s="27" t="s">
        <v>397</v>
      </c>
      <c r="AD260" s="27" t="s">
        <v>19</v>
      </c>
      <c r="AE260" s="27" t="s">
        <v>20</v>
      </c>
      <c r="AF260" s="27" t="s">
        <v>138</v>
      </c>
      <c r="AG260" s="11"/>
    </row>
    <row r="261" spans="1:33" s="12" customFormat="1" ht="21.95" hidden="1" customHeight="1">
      <c r="A261" s="20">
        <v>260</v>
      </c>
      <c r="B261" s="21">
        <v>12</v>
      </c>
      <c r="C261" s="21">
        <v>22969</v>
      </c>
      <c r="D261" s="21" t="s">
        <v>918</v>
      </c>
      <c r="E261" s="142"/>
      <c r="F261" s="21" t="s">
        <v>918</v>
      </c>
      <c r="G261" s="21" t="s">
        <v>918</v>
      </c>
      <c r="H261" s="21" t="s">
        <v>918</v>
      </c>
      <c r="I261" s="21" t="s">
        <v>697</v>
      </c>
      <c r="J261" s="22" t="s">
        <v>13</v>
      </c>
      <c r="K261" s="22"/>
      <c r="L261" s="22"/>
      <c r="M261" s="22"/>
      <c r="N261" s="22"/>
      <c r="O261" s="22"/>
      <c r="P261" s="21" t="s">
        <v>416</v>
      </c>
      <c r="Q261" s="21" t="s">
        <v>849</v>
      </c>
      <c r="R261" s="39" t="s">
        <v>849</v>
      </c>
      <c r="S261" s="39" t="s">
        <v>417</v>
      </c>
      <c r="T261" s="39"/>
      <c r="U261" s="23" t="s">
        <v>417</v>
      </c>
      <c r="V261" s="14" t="s">
        <v>16</v>
      </c>
      <c r="W261" s="23">
        <v>1</v>
      </c>
      <c r="X261" s="23"/>
      <c r="Y261" s="23"/>
      <c r="Z261" s="23"/>
      <c r="AA261" s="23">
        <v>5.9799999999999995</v>
      </c>
      <c r="AB261" s="37" t="s">
        <v>17</v>
      </c>
      <c r="AC261" s="23" t="s">
        <v>418</v>
      </c>
      <c r="AD261" s="23" t="s">
        <v>19</v>
      </c>
      <c r="AE261" s="23" t="s">
        <v>20</v>
      </c>
      <c r="AF261" s="23" t="s">
        <v>138</v>
      </c>
      <c r="AG261" s="11"/>
    </row>
    <row r="262" spans="1:33" s="12" customFormat="1" ht="21.95" hidden="1" customHeight="1">
      <c r="A262" s="16">
        <v>261</v>
      </c>
      <c r="B262" s="17">
        <v>12</v>
      </c>
      <c r="C262" s="17">
        <v>22969</v>
      </c>
      <c r="D262" s="17" t="s">
        <v>918</v>
      </c>
      <c r="E262" s="143"/>
      <c r="F262" s="21" t="s">
        <v>902</v>
      </c>
      <c r="G262" s="21" t="str">
        <f>VLOOKUP(P262,'CO F3'!$C$2:$M$108,7,FALSE)</f>
        <v>Romaine plant (MOP)</v>
      </c>
      <c r="H262" s="21" t="e">
        <f>VLOOKUP(Q262,'CO F3'!$C$2:$M$108,7,FALSE)</f>
        <v>#N/A</v>
      </c>
      <c r="I262" s="17" t="s">
        <v>697</v>
      </c>
      <c r="J262" s="18"/>
      <c r="K262" s="18" t="s">
        <v>13</v>
      </c>
      <c r="L262" s="18"/>
      <c r="M262" s="18"/>
      <c r="N262" s="18"/>
      <c r="O262" s="18"/>
      <c r="P262" s="17" t="s">
        <v>402</v>
      </c>
      <c r="Q262" s="17" t="s">
        <v>870</v>
      </c>
      <c r="R262" s="40" t="s">
        <v>847</v>
      </c>
      <c r="S262" s="40" t="s">
        <v>417</v>
      </c>
      <c r="T262" s="40" t="s">
        <v>416</v>
      </c>
      <c r="U262" s="19" t="s">
        <v>419</v>
      </c>
      <c r="V262" s="13" t="s">
        <v>24</v>
      </c>
      <c r="W262" s="19">
        <v>1</v>
      </c>
      <c r="X262" s="19" t="s">
        <v>367</v>
      </c>
      <c r="Y262" s="19" t="s">
        <v>26</v>
      </c>
      <c r="Z262" s="19">
        <v>1.2</v>
      </c>
      <c r="AA262" s="19">
        <v>3.9009999999999998</v>
      </c>
      <c r="AB262" s="38" t="s">
        <v>30</v>
      </c>
      <c r="AC262" s="19" t="s">
        <v>418</v>
      </c>
      <c r="AD262" s="19" t="s">
        <v>19</v>
      </c>
      <c r="AE262" s="19" t="s">
        <v>20</v>
      </c>
      <c r="AF262" s="19" t="s">
        <v>138</v>
      </c>
      <c r="AG262" s="11"/>
    </row>
    <row r="263" spans="1:33" s="12" customFormat="1" ht="21.95" hidden="1" customHeight="1">
      <c r="A263" s="16">
        <v>262</v>
      </c>
      <c r="B263" s="17">
        <v>12</v>
      </c>
      <c r="C263" s="17">
        <v>22969</v>
      </c>
      <c r="D263" s="17" t="s">
        <v>918</v>
      </c>
      <c r="E263" s="143"/>
      <c r="F263" s="21" t="s">
        <v>918</v>
      </c>
      <c r="G263" s="21" t="e">
        <f>VLOOKUP(P263,'CO F3'!$C$2:$M$108,7,FALSE)</f>
        <v>#N/A</v>
      </c>
      <c r="H263" s="21" t="e">
        <f>VLOOKUP(Q263,'CO F3'!$C$2:$M$108,7,FALSE)</f>
        <v>#N/A</v>
      </c>
      <c r="I263" s="17" t="s">
        <v>697</v>
      </c>
      <c r="J263" s="18"/>
      <c r="K263" s="18" t="s">
        <v>13</v>
      </c>
      <c r="L263" s="18"/>
      <c r="M263" s="18"/>
      <c r="N263" s="18"/>
      <c r="O263" s="18"/>
      <c r="P263" s="17" t="s">
        <v>404</v>
      </c>
      <c r="Q263" s="17" t="s">
        <v>866</v>
      </c>
      <c r="R263" s="40" t="s">
        <v>847</v>
      </c>
      <c r="S263" s="40" t="s">
        <v>417</v>
      </c>
      <c r="T263" s="40" t="s">
        <v>416</v>
      </c>
      <c r="U263" s="19" t="s">
        <v>405</v>
      </c>
      <c r="V263" s="13" t="s">
        <v>24</v>
      </c>
      <c r="W263" s="19">
        <v>1</v>
      </c>
      <c r="X263" s="19" t="s">
        <v>141</v>
      </c>
      <c r="Y263" s="19" t="s">
        <v>134</v>
      </c>
      <c r="Z263" s="19">
        <v>0.94</v>
      </c>
      <c r="AA263" s="19">
        <v>0.41</v>
      </c>
      <c r="AB263" s="37" t="s">
        <v>17</v>
      </c>
      <c r="AC263" s="19" t="s">
        <v>418</v>
      </c>
      <c r="AD263" s="19" t="s">
        <v>19</v>
      </c>
      <c r="AE263" s="19" t="s">
        <v>20</v>
      </c>
      <c r="AF263" s="19" t="s">
        <v>138</v>
      </c>
      <c r="AG263" s="11"/>
    </row>
    <row r="264" spans="1:33" s="12" customFormat="1" ht="21.95" hidden="1" customHeight="1">
      <c r="A264" s="16">
        <v>263</v>
      </c>
      <c r="B264" s="17">
        <v>12</v>
      </c>
      <c r="C264" s="17">
        <v>22969</v>
      </c>
      <c r="D264" s="17" t="s">
        <v>918</v>
      </c>
      <c r="E264" s="143"/>
      <c r="F264" s="21" t="s">
        <v>918</v>
      </c>
      <c r="G264" s="21" t="e">
        <f>VLOOKUP(P264,'CO F3'!$C$2:$M$108,7,FALSE)</f>
        <v>#N/A</v>
      </c>
      <c r="H264" s="21" t="e">
        <f>VLOOKUP(Q264,'CO F3'!$C$2:$M$108,7,FALSE)</f>
        <v>#N/A</v>
      </c>
      <c r="I264" s="17" t="s">
        <v>697</v>
      </c>
      <c r="J264" s="18"/>
      <c r="K264" s="18" t="s">
        <v>13</v>
      </c>
      <c r="L264" s="18"/>
      <c r="M264" s="18"/>
      <c r="N264" s="18"/>
      <c r="O264" s="18"/>
      <c r="P264" s="17" t="s">
        <v>406</v>
      </c>
      <c r="Q264" s="17" t="s">
        <v>866</v>
      </c>
      <c r="R264" s="40" t="s">
        <v>847</v>
      </c>
      <c r="S264" s="40" t="s">
        <v>417</v>
      </c>
      <c r="T264" s="40" t="s">
        <v>416</v>
      </c>
      <c r="U264" s="19" t="s">
        <v>407</v>
      </c>
      <c r="V264" s="13" t="s">
        <v>24</v>
      </c>
      <c r="W264" s="19">
        <v>1</v>
      </c>
      <c r="X264" s="19" t="s">
        <v>141</v>
      </c>
      <c r="Y264" s="19" t="s">
        <v>134</v>
      </c>
      <c r="Z264" s="19">
        <v>0.94</v>
      </c>
      <c r="AA264" s="19">
        <v>0.41</v>
      </c>
      <c r="AB264" s="37" t="s">
        <v>17</v>
      </c>
      <c r="AC264" s="19" t="s">
        <v>418</v>
      </c>
      <c r="AD264" s="19" t="s">
        <v>19</v>
      </c>
      <c r="AE264" s="19" t="s">
        <v>20</v>
      </c>
      <c r="AF264" s="19" t="s">
        <v>138</v>
      </c>
      <c r="AG264" s="11"/>
    </row>
    <row r="265" spans="1:33" s="12" customFormat="1" ht="21.95" hidden="1" customHeight="1">
      <c r="A265" s="16">
        <v>264</v>
      </c>
      <c r="B265" s="17">
        <v>12</v>
      </c>
      <c r="C265" s="17">
        <v>22969</v>
      </c>
      <c r="D265" s="17" t="s">
        <v>918</v>
      </c>
      <c r="E265" s="143"/>
      <c r="F265" s="21" t="s">
        <v>918</v>
      </c>
      <c r="G265" s="21" t="e">
        <f>VLOOKUP(P265,'CO F3'!$C$2:$M$108,7,FALSE)</f>
        <v>#N/A</v>
      </c>
      <c r="H265" s="21" t="e">
        <f>VLOOKUP(Q265,'CO F3'!$C$2:$M$108,7,FALSE)</f>
        <v>#N/A</v>
      </c>
      <c r="I265" s="17" t="s">
        <v>697</v>
      </c>
      <c r="J265" s="18"/>
      <c r="K265" s="18" t="s">
        <v>13</v>
      </c>
      <c r="L265" s="18"/>
      <c r="M265" s="18"/>
      <c r="N265" s="18"/>
      <c r="O265" s="18"/>
      <c r="P265" s="17" t="s">
        <v>408</v>
      </c>
      <c r="Q265" s="17" t="s">
        <v>866</v>
      </c>
      <c r="R265" s="40" t="s">
        <v>847</v>
      </c>
      <c r="S265" s="40" t="s">
        <v>417</v>
      </c>
      <c r="T265" s="40" t="s">
        <v>416</v>
      </c>
      <c r="U265" s="19" t="s">
        <v>409</v>
      </c>
      <c r="V265" s="13" t="s">
        <v>24</v>
      </c>
      <c r="W265" s="19">
        <v>1</v>
      </c>
      <c r="X265" s="19" t="s">
        <v>141</v>
      </c>
      <c r="Y265" s="19" t="s">
        <v>134</v>
      </c>
      <c r="Z265" s="19">
        <v>0.94</v>
      </c>
      <c r="AA265" s="19">
        <v>0.5</v>
      </c>
      <c r="AB265" s="37" t="s">
        <v>17</v>
      </c>
      <c r="AC265" s="19" t="s">
        <v>418</v>
      </c>
      <c r="AD265" s="19" t="s">
        <v>19</v>
      </c>
      <c r="AE265" s="19" t="s">
        <v>20</v>
      </c>
      <c r="AF265" s="19" t="s">
        <v>138</v>
      </c>
      <c r="AG265" s="11"/>
    </row>
    <row r="266" spans="1:33" s="12" customFormat="1" ht="21.95" hidden="1" customHeight="1">
      <c r="A266" s="24">
        <v>265</v>
      </c>
      <c r="B266" s="25">
        <v>12</v>
      </c>
      <c r="C266" s="25">
        <v>22969</v>
      </c>
      <c r="D266" s="25" t="s">
        <v>918</v>
      </c>
      <c r="E266" s="144"/>
      <c r="F266" s="21" t="s">
        <v>917</v>
      </c>
      <c r="G266" s="21" t="e">
        <f>VLOOKUP(P266,'CO F3'!$C$2:$M$108,7,FALSE)</f>
        <v>#N/A</v>
      </c>
      <c r="H266" s="21" t="e">
        <f>VLOOKUP(Q266,'CO F3'!$C$2:$M$108,7,FALSE)</f>
        <v>#N/A</v>
      </c>
      <c r="I266" s="25" t="s">
        <v>697</v>
      </c>
      <c r="J266" s="26"/>
      <c r="K266" s="26" t="s">
        <v>13</v>
      </c>
      <c r="L266" s="26"/>
      <c r="M266" s="26"/>
      <c r="N266" s="26"/>
      <c r="O266" s="26"/>
      <c r="P266" s="25" t="s">
        <v>410</v>
      </c>
      <c r="Q266" s="25" t="s">
        <v>849</v>
      </c>
      <c r="R266" s="41" t="s">
        <v>849</v>
      </c>
      <c r="S266" s="41" t="s">
        <v>417</v>
      </c>
      <c r="T266" s="41" t="s">
        <v>416</v>
      </c>
      <c r="U266" s="27" t="s">
        <v>411</v>
      </c>
      <c r="V266" s="15" t="s">
        <v>29</v>
      </c>
      <c r="W266" s="27">
        <v>10</v>
      </c>
      <c r="X266" s="27"/>
      <c r="Y266" s="27"/>
      <c r="Z266" s="27"/>
      <c r="AA266" s="27">
        <v>0.04</v>
      </c>
      <c r="AB266" s="38" t="s">
        <v>30</v>
      </c>
      <c r="AC266" s="27" t="s">
        <v>418</v>
      </c>
      <c r="AD266" s="27" t="s">
        <v>19</v>
      </c>
      <c r="AE266" s="27" t="s">
        <v>20</v>
      </c>
      <c r="AF266" s="27" t="s">
        <v>138</v>
      </c>
      <c r="AG266" s="11"/>
    </row>
    <row r="267" spans="1:33" s="12" customFormat="1" ht="21.95" hidden="1" customHeight="1">
      <c r="A267" s="31">
        <v>266</v>
      </c>
      <c r="B267" s="32">
        <v>12</v>
      </c>
      <c r="C267" s="32">
        <v>22969</v>
      </c>
      <c r="D267" s="32" t="s">
        <v>918</v>
      </c>
      <c r="E267" s="145"/>
      <c r="F267" s="21" t="s">
        <v>920</v>
      </c>
      <c r="G267" s="21" t="str">
        <f>VLOOKUP(P267,'CO F3'!$C$2:$M$108,7,FALSE)</f>
        <v>COSKUNOZ MA SRL ROMANIA</v>
      </c>
      <c r="H267" s="21" t="e">
        <f>VLOOKUP(Q267,'CO F3'!$C$2:$M$108,7,FALSE)</f>
        <v>#N/A</v>
      </c>
      <c r="I267" s="32" t="s">
        <v>697</v>
      </c>
      <c r="J267" s="33"/>
      <c r="K267" s="33" t="s">
        <v>13</v>
      </c>
      <c r="L267" s="33"/>
      <c r="M267" s="33"/>
      <c r="N267" s="33"/>
      <c r="O267" s="33"/>
      <c r="P267" s="32" t="s">
        <v>420</v>
      </c>
      <c r="Q267" s="32" t="s">
        <v>861</v>
      </c>
      <c r="R267" s="42" t="s">
        <v>848</v>
      </c>
      <c r="S267" s="42" t="s">
        <v>417</v>
      </c>
      <c r="T267" s="42" t="s">
        <v>416</v>
      </c>
      <c r="U267" s="34" t="s">
        <v>421</v>
      </c>
      <c r="V267" s="35" t="s">
        <v>41</v>
      </c>
      <c r="W267" s="34">
        <v>1</v>
      </c>
      <c r="X267" s="34"/>
      <c r="Y267" s="34"/>
      <c r="Z267" s="34"/>
      <c r="AA267" s="34">
        <v>0</v>
      </c>
      <c r="AB267" s="38" t="s">
        <v>30</v>
      </c>
      <c r="AC267" s="34" t="s">
        <v>418</v>
      </c>
      <c r="AD267" s="34" t="s">
        <v>19</v>
      </c>
      <c r="AE267" s="34" t="s">
        <v>20</v>
      </c>
      <c r="AF267" s="34" t="s">
        <v>138</v>
      </c>
      <c r="AG267" s="11"/>
    </row>
    <row r="268" spans="1:33" s="12" customFormat="1" ht="21.95" hidden="1" customHeight="1">
      <c r="A268" s="16">
        <v>267</v>
      </c>
      <c r="B268" s="17">
        <v>12</v>
      </c>
      <c r="C268" s="17">
        <v>22969</v>
      </c>
      <c r="D268" s="17" t="s">
        <v>918</v>
      </c>
      <c r="E268" s="143"/>
      <c r="F268" s="21" t="s">
        <v>920</v>
      </c>
      <c r="G268" s="21" t="e">
        <f>VLOOKUP(P268,'CO F3'!$C$2:$M$108,7,FALSE)</f>
        <v>#N/A</v>
      </c>
      <c r="H268" s="21" t="e">
        <f>VLOOKUP(Q268,'CO F3'!$C$2:$M$108,7,FALSE)</f>
        <v>#N/A</v>
      </c>
      <c r="I268" s="17" t="s">
        <v>697</v>
      </c>
      <c r="J268" s="18"/>
      <c r="K268" s="18"/>
      <c r="L268" s="18" t="s">
        <v>13</v>
      </c>
      <c r="M268" s="18"/>
      <c r="N268" s="18"/>
      <c r="O268" s="18"/>
      <c r="P268" s="17" t="s">
        <v>422</v>
      </c>
      <c r="Q268" s="17" t="s">
        <v>864</v>
      </c>
      <c r="R268" s="40" t="s">
        <v>847</v>
      </c>
      <c r="S268" s="40" t="s">
        <v>417</v>
      </c>
      <c r="T268" s="40" t="s">
        <v>420</v>
      </c>
      <c r="U268" s="19" t="s">
        <v>150</v>
      </c>
      <c r="V268" s="13" t="s">
        <v>24</v>
      </c>
      <c r="W268" s="19">
        <v>1</v>
      </c>
      <c r="X268" s="19" t="s">
        <v>199</v>
      </c>
      <c r="Y268" s="19" t="s">
        <v>194</v>
      </c>
      <c r="Z268" s="19">
        <v>1.46</v>
      </c>
      <c r="AA268" s="19">
        <v>0.35</v>
      </c>
      <c r="AB268" s="38" t="s">
        <v>30</v>
      </c>
      <c r="AC268" s="19" t="s">
        <v>418</v>
      </c>
      <c r="AD268" s="19" t="s">
        <v>19</v>
      </c>
      <c r="AE268" s="19" t="s">
        <v>20</v>
      </c>
      <c r="AF268" s="19" t="s">
        <v>138</v>
      </c>
      <c r="AG268" s="11"/>
    </row>
    <row r="269" spans="1:33" s="12" customFormat="1" ht="21.95" hidden="1" customHeight="1">
      <c r="A269" s="24">
        <v>268</v>
      </c>
      <c r="B269" s="25">
        <v>12</v>
      </c>
      <c r="C269" s="25">
        <v>22969</v>
      </c>
      <c r="D269" s="25" t="s">
        <v>918</v>
      </c>
      <c r="E269" s="144"/>
      <c r="F269" s="21" t="s">
        <v>920</v>
      </c>
      <c r="G269" s="21" t="e">
        <f>VLOOKUP(P269,'CO F3'!$C$2:$M$108,7,FALSE)</f>
        <v>#N/A</v>
      </c>
      <c r="H269" s="21" t="e">
        <f>VLOOKUP(Q269,'CO F3'!$C$2:$M$108,7,FALSE)</f>
        <v>#N/A</v>
      </c>
      <c r="I269" s="25" t="s">
        <v>697</v>
      </c>
      <c r="J269" s="26"/>
      <c r="K269" s="26"/>
      <c r="L269" s="26" t="s">
        <v>13</v>
      </c>
      <c r="M269" s="26"/>
      <c r="N269" s="26"/>
      <c r="O269" s="26"/>
      <c r="P269" s="25">
        <v>7703042121</v>
      </c>
      <c r="Q269" s="25" t="s">
        <v>849</v>
      </c>
      <c r="R269" s="41" t="s">
        <v>849</v>
      </c>
      <c r="S269" s="41" t="s">
        <v>417</v>
      </c>
      <c r="T269" s="41" t="s">
        <v>420</v>
      </c>
      <c r="U269" s="27" t="s">
        <v>111</v>
      </c>
      <c r="V269" s="15" t="s">
        <v>29</v>
      </c>
      <c r="W269" s="27">
        <v>1</v>
      </c>
      <c r="X269" s="27"/>
      <c r="Y269" s="27"/>
      <c r="Z269" s="27"/>
      <c r="AA269" s="27">
        <v>1.7999999999999999E-2</v>
      </c>
      <c r="AB269" s="38" t="s">
        <v>30</v>
      </c>
      <c r="AC269" s="27" t="s">
        <v>418</v>
      </c>
      <c r="AD269" s="27" t="s">
        <v>19</v>
      </c>
      <c r="AE269" s="27" t="s">
        <v>20</v>
      </c>
      <c r="AF269" s="27" t="s">
        <v>138</v>
      </c>
      <c r="AG269" s="11"/>
    </row>
    <row r="270" spans="1:33" s="12" customFormat="1" ht="21.95" hidden="1" customHeight="1">
      <c r="A270" s="31">
        <v>269</v>
      </c>
      <c r="B270" s="32">
        <v>12</v>
      </c>
      <c r="C270" s="32">
        <v>22969</v>
      </c>
      <c r="D270" s="32" t="s">
        <v>918</v>
      </c>
      <c r="E270" s="145"/>
      <c r="F270" s="21" t="s">
        <v>920</v>
      </c>
      <c r="G270" s="21" t="str">
        <f>VLOOKUP(P270,'CO F3'!$C$2:$M$108,7,FALSE)</f>
        <v>COSKUNOZ MA SRL ROMANIA</v>
      </c>
      <c r="H270" s="21" t="e">
        <f>VLOOKUP(Q270,'CO F3'!$C$2:$M$108,7,FALSE)</f>
        <v>#N/A</v>
      </c>
      <c r="I270" s="32" t="s">
        <v>697</v>
      </c>
      <c r="J270" s="33"/>
      <c r="K270" s="33" t="s">
        <v>13</v>
      </c>
      <c r="L270" s="33"/>
      <c r="M270" s="33"/>
      <c r="N270" s="33"/>
      <c r="O270" s="33"/>
      <c r="P270" s="32" t="s">
        <v>423</v>
      </c>
      <c r="Q270" s="32" t="s">
        <v>861</v>
      </c>
      <c r="R270" s="42" t="s">
        <v>848</v>
      </c>
      <c r="S270" s="42" t="s">
        <v>417</v>
      </c>
      <c r="T270" s="42" t="s">
        <v>416</v>
      </c>
      <c r="U270" s="34" t="s">
        <v>424</v>
      </c>
      <c r="V270" s="35" t="s">
        <v>41</v>
      </c>
      <c r="W270" s="34">
        <v>1</v>
      </c>
      <c r="X270" s="34"/>
      <c r="Y270" s="34"/>
      <c r="Z270" s="34"/>
      <c r="AA270" s="34">
        <v>0</v>
      </c>
      <c r="AB270" s="38" t="s">
        <v>30</v>
      </c>
      <c r="AC270" s="34" t="s">
        <v>418</v>
      </c>
      <c r="AD270" s="34" t="s">
        <v>19</v>
      </c>
      <c r="AE270" s="34" t="s">
        <v>20</v>
      </c>
      <c r="AF270" s="34" t="s">
        <v>138</v>
      </c>
      <c r="AG270" s="11"/>
    </row>
    <row r="271" spans="1:33" s="12" customFormat="1" ht="21.95" hidden="1" customHeight="1">
      <c r="A271" s="16">
        <v>270</v>
      </c>
      <c r="B271" s="17">
        <v>12</v>
      </c>
      <c r="C271" s="17">
        <v>22969</v>
      </c>
      <c r="D271" s="17" t="s">
        <v>918</v>
      </c>
      <c r="E271" s="143"/>
      <c r="F271" s="21" t="s">
        <v>920</v>
      </c>
      <c r="G271" s="21" t="e">
        <f>VLOOKUP(P271,'CO F3'!$C$2:$M$108,7,FALSE)</f>
        <v>#N/A</v>
      </c>
      <c r="H271" s="21" t="e">
        <f>VLOOKUP(Q271,'CO F3'!$C$2:$M$108,7,FALSE)</f>
        <v>#N/A</v>
      </c>
      <c r="I271" s="17" t="s">
        <v>697</v>
      </c>
      <c r="J271" s="18"/>
      <c r="K271" s="18"/>
      <c r="L271" s="18" t="s">
        <v>13</v>
      </c>
      <c r="M271" s="18"/>
      <c r="N271" s="18"/>
      <c r="O271" s="18"/>
      <c r="P271" s="17" t="s">
        <v>425</v>
      </c>
      <c r="Q271" s="17" t="s">
        <v>864</v>
      </c>
      <c r="R271" s="40" t="s">
        <v>847</v>
      </c>
      <c r="S271" s="40" t="s">
        <v>417</v>
      </c>
      <c r="T271" s="40" t="s">
        <v>423</v>
      </c>
      <c r="U271" s="19" t="s">
        <v>415</v>
      </c>
      <c r="V271" s="13" t="s">
        <v>24</v>
      </c>
      <c r="W271" s="19">
        <v>1</v>
      </c>
      <c r="X271" s="19" t="s">
        <v>199</v>
      </c>
      <c r="Y271" s="19" t="s">
        <v>194</v>
      </c>
      <c r="Z271" s="19">
        <v>1.46</v>
      </c>
      <c r="AA271" s="19">
        <v>0.33300000000000002</v>
      </c>
      <c r="AB271" s="38" t="s">
        <v>30</v>
      </c>
      <c r="AC271" s="19" t="s">
        <v>418</v>
      </c>
      <c r="AD271" s="19" t="s">
        <v>19</v>
      </c>
      <c r="AE271" s="19" t="s">
        <v>20</v>
      </c>
      <c r="AF271" s="19" t="s">
        <v>138</v>
      </c>
      <c r="AG271" s="11"/>
    </row>
    <row r="272" spans="1:33" s="12" customFormat="1" ht="21.95" hidden="1" customHeight="1">
      <c r="A272" s="24">
        <v>271</v>
      </c>
      <c r="B272" s="25">
        <v>12</v>
      </c>
      <c r="C272" s="25">
        <v>22969</v>
      </c>
      <c r="D272" s="25" t="s">
        <v>918</v>
      </c>
      <c r="E272" s="144"/>
      <c r="F272" s="21" t="s">
        <v>920</v>
      </c>
      <c r="G272" s="21" t="e">
        <f>VLOOKUP(P272,'CO F3'!$C$2:$M$108,7,FALSE)</f>
        <v>#N/A</v>
      </c>
      <c r="H272" s="21" t="e">
        <f>VLOOKUP(Q272,'CO F3'!$C$2:$M$108,7,FALSE)</f>
        <v>#N/A</v>
      </c>
      <c r="I272" s="25" t="s">
        <v>697</v>
      </c>
      <c r="J272" s="26"/>
      <c r="K272" s="26"/>
      <c r="L272" s="26" t="s">
        <v>13</v>
      </c>
      <c r="M272" s="26"/>
      <c r="N272" s="26"/>
      <c r="O272" s="26"/>
      <c r="P272" s="25" t="s">
        <v>426</v>
      </c>
      <c r="Q272" s="25" t="s">
        <v>849</v>
      </c>
      <c r="R272" s="41" t="s">
        <v>849</v>
      </c>
      <c r="S272" s="41" t="s">
        <v>417</v>
      </c>
      <c r="T272" s="41" t="s">
        <v>423</v>
      </c>
      <c r="U272" s="27" t="s">
        <v>111</v>
      </c>
      <c r="V272" s="15" t="s">
        <v>29</v>
      </c>
      <c r="W272" s="27">
        <v>1</v>
      </c>
      <c r="X272" s="27"/>
      <c r="Y272" s="27"/>
      <c r="Z272" s="27"/>
      <c r="AA272" s="27">
        <v>1.7999999999999999E-2</v>
      </c>
      <c r="AB272" s="38" t="s">
        <v>30</v>
      </c>
      <c r="AC272" s="27" t="s">
        <v>418</v>
      </c>
      <c r="AD272" s="27" t="s">
        <v>19</v>
      </c>
      <c r="AE272" s="27" t="s">
        <v>20</v>
      </c>
      <c r="AF272" s="27" t="s">
        <v>138</v>
      </c>
      <c r="AG272" s="11"/>
    </row>
    <row r="273" spans="1:33" s="12" customFormat="1" ht="21.95" hidden="1" customHeight="1">
      <c r="A273" s="16">
        <v>272</v>
      </c>
      <c r="B273" s="17">
        <v>12</v>
      </c>
      <c r="C273" s="17">
        <v>29310</v>
      </c>
      <c r="D273" s="17" t="s">
        <v>919</v>
      </c>
      <c r="E273" s="143"/>
      <c r="F273" s="21" t="s">
        <v>919</v>
      </c>
      <c r="G273" s="21" t="s">
        <v>919</v>
      </c>
      <c r="H273" s="21" t="e">
        <f>VLOOKUP(Q273,'CO F3'!$C$2:$M$108,7,FALSE)</f>
        <v>#N/A</v>
      </c>
      <c r="I273" s="17"/>
      <c r="J273" s="18" t="s">
        <v>13</v>
      </c>
      <c r="K273" s="18"/>
      <c r="L273" s="18"/>
      <c r="M273" s="18"/>
      <c r="N273" s="18"/>
      <c r="O273" s="18"/>
      <c r="P273" s="17" t="s">
        <v>428</v>
      </c>
      <c r="Q273" s="17" t="s">
        <v>849</v>
      </c>
      <c r="R273" s="40" t="s">
        <v>849</v>
      </c>
      <c r="S273" s="40" t="s">
        <v>429</v>
      </c>
      <c r="T273" s="40"/>
      <c r="U273" s="19" t="s">
        <v>429</v>
      </c>
      <c r="V273" s="13" t="s">
        <v>24</v>
      </c>
      <c r="W273" s="19">
        <v>1</v>
      </c>
      <c r="X273" s="19" t="s">
        <v>841</v>
      </c>
      <c r="Y273" s="19" t="s">
        <v>38</v>
      </c>
      <c r="Z273" s="19">
        <v>0.93</v>
      </c>
      <c r="AA273" s="19">
        <v>12.5</v>
      </c>
      <c r="AB273" s="37" t="s">
        <v>17</v>
      </c>
      <c r="AC273" s="19" t="s">
        <v>430</v>
      </c>
      <c r="AD273" s="19" t="s">
        <v>19</v>
      </c>
      <c r="AE273" s="19" t="s">
        <v>20</v>
      </c>
      <c r="AF273" s="19" t="s">
        <v>432</v>
      </c>
      <c r="AG273" s="11"/>
    </row>
    <row r="274" spans="1:33" s="12" customFormat="1" ht="21.95" hidden="1" customHeight="1">
      <c r="A274" s="20">
        <v>273</v>
      </c>
      <c r="B274" s="21">
        <v>12</v>
      </c>
      <c r="C274" s="21">
        <v>23046</v>
      </c>
      <c r="D274" s="21" t="s">
        <v>918</v>
      </c>
      <c r="E274" s="142"/>
      <c r="F274" s="21" t="s">
        <v>918</v>
      </c>
      <c r="G274" s="21" t="s">
        <v>918</v>
      </c>
      <c r="H274" s="21" t="s">
        <v>918</v>
      </c>
      <c r="I274" s="21" t="s">
        <v>697</v>
      </c>
      <c r="J274" s="22" t="s">
        <v>13</v>
      </c>
      <c r="K274" s="22"/>
      <c r="L274" s="22"/>
      <c r="M274" s="22"/>
      <c r="N274" s="22"/>
      <c r="O274" s="22"/>
      <c r="P274" s="21" t="s">
        <v>433</v>
      </c>
      <c r="Q274" s="21" t="s">
        <v>849</v>
      </c>
      <c r="R274" s="39" t="s">
        <v>849</v>
      </c>
      <c r="S274" s="39" t="s">
        <v>196</v>
      </c>
      <c r="T274" s="39"/>
      <c r="U274" s="23" t="s">
        <v>196</v>
      </c>
      <c r="V274" s="14" t="s">
        <v>16</v>
      </c>
      <c r="W274" s="23">
        <v>1</v>
      </c>
      <c r="X274" s="23"/>
      <c r="Y274" s="23"/>
      <c r="Z274" s="23"/>
      <c r="AA274" s="23">
        <v>1.81</v>
      </c>
      <c r="AB274" s="37" t="s">
        <v>17</v>
      </c>
      <c r="AC274" s="23" t="s">
        <v>434</v>
      </c>
      <c r="AD274" s="23" t="s">
        <v>19</v>
      </c>
      <c r="AE274" s="23" t="s">
        <v>20</v>
      </c>
      <c r="AF274" s="23" t="s">
        <v>35</v>
      </c>
      <c r="AG274" s="11"/>
    </row>
    <row r="275" spans="1:33" s="12" customFormat="1" ht="21.95" hidden="1" customHeight="1">
      <c r="A275" s="16">
        <v>274</v>
      </c>
      <c r="B275" s="17">
        <v>12</v>
      </c>
      <c r="C275" s="17">
        <v>23046</v>
      </c>
      <c r="D275" s="17" t="s">
        <v>918</v>
      </c>
      <c r="E275" s="143"/>
      <c r="F275" s="21" t="s">
        <v>919</v>
      </c>
      <c r="G275" s="21" t="e">
        <f>VLOOKUP(P275,'CO F3'!$C$2:$M$108,7,FALSE)</f>
        <v>#N/A</v>
      </c>
      <c r="H275" s="21" t="e">
        <f>VLOOKUP(Q275,'CO F3'!$C$2:$M$108,7,FALSE)</f>
        <v>#N/A</v>
      </c>
      <c r="I275" s="17" t="s">
        <v>697</v>
      </c>
      <c r="J275" s="18"/>
      <c r="K275" s="18" t="s">
        <v>13</v>
      </c>
      <c r="L275" s="18"/>
      <c r="M275" s="18"/>
      <c r="N275" s="18"/>
      <c r="O275" s="18"/>
      <c r="P275" s="17" t="s">
        <v>435</v>
      </c>
      <c r="Q275" s="17" t="s">
        <v>863</v>
      </c>
      <c r="R275" s="40" t="s">
        <v>847</v>
      </c>
      <c r="S275" s="40" t="s">
        <v>196</v>
      </c>
      <c r="T275" s="40" t="s">
        <v>195</v>
      </c>
      <c r="U275" s="19" t="s">
        <v>198</v>
      </c>
      <c r="V275" s="13" t="s">
        <v>24</v>
      </c>
      <c r="W275" s="19">
        <v>1</v>
      </c>
      <c r="X275" s="19" t="s">
        <v>842</v>
      </c>
      <c r="Y275" s="19" t="s">
        <v>38</v>
      </c>
      <c r="Z275" s="19">
        <v>1.44</v>
      </c>
      <c r="AA275" s="19">
        <v>1.73</v>
      </c>
      <c r="AB275" s="37" t="s">
        <v>17</v>
      </c>
      <c r="AC275" s="19" t="s">
        <v>434</v>
      </c>
      <c r="AD275" s="19" t="s">
        <v>19</v>
      </c>
      <c r="AE275" s="19" t="s">
        <v>20</v>
      </c>
      <c r="AF275" s="19" t="s">
        <v>35</v>
      </c>
      <c r="AG275" s="11"/>
    </row>
    <row r="276" spans="1:33" s="12" customFormat="1" ht="21.95" hidden="1" customHeight="1">
      <c r="A276" s="24">
        <v>275</v>
      </c>
      <c r="B276" s="25">
        <v>12</v>
      </c>
      <c r="C276" s="25">
        <v>23046</v>
      </c>
      <c r="D276" s="25" t="s">
        <v>918</v>
      </c>
      <c r="E276" s="144"/>
      <c r="F276" s="21" t="s">
        <v>917</v>
      </c>
      <c r="G276" s="21" t="e">
        <f>VLOOKUP(P276,'CO F3'!$C$2:$M$108,7,FALSE)</f>
        <v>#N/A</v>
      </c>
      <c r="H276" s="21" t="e">
        <f>VLOOKUP(Q276,'CO F3'!$C$2:$M$108,7,FALSE)</f>
        <v>#N/A</v>
      </c>
      <c r="I276" s="25" t="s">
        <v>697</v>
      </c>
      <c r="J276" s="26"/>
      <c r="K276" s="26" t="s">
        <v>13</v>
      </c>
      <c r="L276" s="26"/>
      <c r="M276" s="26"/>
      <c r="N276" s="26"/>
      <c r="O276" s="26"/>
      <c r="P276" s="25">
        <v>7703011335</v>
      </c>
      <c r="Q276" s="25" t="s">
        <v>849</v>
      </c>
      <c r="R276" s="41" t="s">
        <v>849</v>
      </c>
      <c r="S276" s="41" t="s">
        <v>196</v>
      </c>
      <c r="T276" s="41" t="s">
        <v>195</v>
      </c>
      <c r="U276" s="27" t="s">
        <v>436</v>
      </c>
      <c r="V276" s="15" t="s">
        <v>29</v>
      </c>
      <c r="W276" s="27">
        <v>1</v>
      </c>
      <c r="X276" s="27"/>
      <c r="Y276" s="27"/>
      <c r="Z276" s="27"/>
      <c r="AA276" s="27">
        <v>0.08</v>
      </c>
      <c r="AB276" s="38" t="s">
        <v>30</v>
      </c>
      <c r="AC276" s="27" t="s">
        <v>434</v>
      </c>
      <c r="AD276" s="27" t="s">
        <v>19</v>
      </c>
      <c r="AE276" s="27" t="s">
        <v>20</v>
      </c>
      <c r="AF276" s="27" t="s">
        <v>35</v>
      </c>
      <c r="AG276" s="11"/>
    </row>
    <row r="277" spans="1:33" s="12" customFormat="1" ht="21.95" hidden="1" customHeight="1">
      <c r="A277" s="20">
        <v>276</v>
      </c>
      <c r="B277" s="21">
        <v>12</v>
      </c>
      <c r="C277" s="21">
        <v>26303</v>
      </c>
      <c r="D277" s="21" t="s">
        <v>918</v>
      </c>
      <c r="E277" s="142"/>
      <c r="F277" s="21" t="s">
        <v>918</v>
      </c>
      <c r="G277" s="21" t="s">
        <v>918</v>
      </c>
      <c r="H277" s="21" t="s">
        <v>918</v>
      </c>
      <c r="I277" s="21" t="s">
        <v>697</v>
      </c>
      <c r="J277" s="22" t="s">
        <v>13</v>
      </c>
      <c r="K277" s="22"/>
      <c r="L277" s="22"/>
      <c r="M277" s="22"/>
      <c r="N277" s="22"/>
      <c r="O277" s="22"/>
      <c r="P277" s="21" t="s">
        <v>437</v>
      </c>
      <c r="Q277" s="21" t="s">
        <v>861</v>
      </c>
      <c r="R277" s="39" t="s">
        <v>847</v>
      </c>
      <c r="S277" s="39" t="s">
        <v>438</v>
      </c>
      <c r="T277" s="39"/>
      <c r="U277" s="23" t="s">
        <v>438</v>
      </c>
      <c r="V277" s="14" t="s">
        <v>16</v>
      </c>
      <c r="W277" s="23">
        <v>1</v>
      </c>
      <c r="X277" s="23"/>
      <c r="Y277" s="23"/>
      <c r="Z277" s="23"/>
      <c r="AA277" s="23">
        <v>1.9060000000000001</v>
      </c>
      <c r="AB277" s="37" t="s">
        <v>17</v>
      </c>
      <c r="AC277" s="23" t="s">
        <v>439</v>
      </c>
      <c r="AD277" s="23" t="s">
        <v>19</v>
      </c>
      <c r="AE277" s="23" t="s">
        <v>20</v>
      </c>
      <c r="AF277" s="23" t="s">
        <v>56</v>
      </c>
      <c r="AG277" s="11"/>
    </row>
    <row r="278" spans="1:33" s="12" customFormat="1" ht="21.95" hidden="1" customHeight="1">
      <c r="A278" s="16">
        <v>277</v>
      </c>
      <c r="B278" s="17">
        <v>12</v>
      </c>
      <c r="C278" s="17">
        <v>26303</v>
      </c>
      <c r="D278" s="17" t="s">
        <v>918</v>
      </c>
      <c r="E278" s="143"/>
      <c r="F278" s="21" t="s">
        <v>879</v>
      </c>
      <c r="G278" s="21" t="str">
        <f>VLOOKUP(P278,'CO F3'!$C$2:$M$108,7,FALSE)</f>
        <v xml:space="preserve">TOWER AUTOMOTIVE </v>
      </c>
      <c r="H278" s="21" t="e">
        <f>VLOOKUP(Q278,'CO F3'!$C$2:$M$108,7,FALSE)</f>
        <v>#N/A</v>
      </c>
      <c r="I278" s="17" t="s">
        <v>697</v>
      </c>
      <c r="J278" s="18"/>
      <c r="K278" s="18" t="s">
        <v>13</v>
      </c>
      <c r="L278" s="18"/>
      <c r="M278" s="18"/>
      <c r="N278" s="18"/>
      <c r="O278" s="18"/>
      <c r="P278" s="17" t="s">
        <v>440</v>
      </c>
      <c r="Q278" s="17" t="s">
        <v>866</v>
      </c>
      <c r="R278" s="40" t="s">
        <v>847</v>
      </c>
      <c r="S278" s="40" t="s">
        <v>438</v>
      </c>
      <c r="T278" s="40" t="s">
        <v>437</v>
      </c>
      <c r="U278" s="19" t="s">
        <v>441</v>
      </c>
      <c r="V278" s="13" t="s">
        <v>24</v>
      </c>
      <c r="W278" s="19">
        <v>1</v>
      </c>
      <c r="X278" s="19" t="s">
        <v>141</v>
      </c>
      <c r="Y278" s="19" t="s">
        <v>26</v>
      </c>
      <c r="Z278" s="19">
        <v>1.6</v>
      </c>
      <c r="AA278" s="19">
        <v>0.6</v>
      </c>
      <c r="AB278" s="38" t="s">
        <v>30</v>
      </c>
      <c r="AC278" s="19" t="s">
        <v>439</v>
      </c>
      <c r="AD278" s="19" t="s">
        <v>19</v>
      </c>
      <c r="AE278" s="19" t="s">
        <v>20</v>
      </c>
      <c r="AF278" s="19" t="s">
        <v>56</v>
      </c>
      <c r="AG278" s="11"/>
    </row>
    <row r="279" spans="1:33" s="12" customFormat="1" ht="21.95" hidden="1" customHeight="1">
      <c r="A279" s="31">
        <v>278</v>
      </c>
      <c r="B279" s="32">
        <v>12</v>
      </c>
      <c r="C279" s="32">
        <v>26303</v>
      </c>
      <c r="D279" s="32" t="s">
        <v>918</v>
      </c>
      <c r="E279" s="145"/>
      <c r="F279" s="21" t="s">
        <v>918</v>
      </c>
      <c r="G279" s="21" t="str">
        <f>VLOOKUP(P279,'CO F3'!$C$2:$M$108,7,FALSE)</f>
        <v xml:space="preserve">FUMISCOR </v>
      </c>
      <c r="H279" s="21" t="e">
        <f>VLOOKUP(Q279,'CO F3'!$C$2:$M$108,7,FALSE)</f>
        <v>#N/A</v>
      </c>
      <c r="I279" s="32" t="s">
        <v>697</v>
      </c>
      <c r="J279" s="33"/>
      <c r="K279" s="33" t="s">
        <v>13</v>
      </c>
      <c r="L279" s="33"/>
      <c r="M279" s="33"/>
      <c r="N279" s="33"/>
      <c r="O279" s="33"/>
      <c r="P279" s="32" t="s">
        <v>442</v>
      </c>
      <c r="Q279" s="32" t="s">
        <v>861</v>
      </c>
      <c r="R279" s="42" t="s">
        <v>848</v>
      </c>
      <c r="S279" s="42" t="s">
        <v>438</v>
      </c>
      <c r="T279" s="42" t="s">
        <v>437</v>
      </c>
      <c r="U279" s="34" t="s">
        <v>443</v>
      </c>
      <c r="V279" s="35" t="s">
        <v>41</v>
      </c>
      <c r="W279" s="34">
        <v>1</v>
      </c>
      <c r="X279" s="34"/>
      <c r="Y279" s="34"/>
      <c r="Z279" s="34"/>
      <c r="AA279" s="34">
        <v>1.306</v>
      </c>
      <c r="AB279" s="38" t="s">
        <v>30</v>
      </c>
      <c r="AC279" s="34" t="s">
        <v>439</v>
      </c>
      <c r="AD279" s="34" t="s">
        <v>19</v>
      </c>
      <c r="AE279" s="34" t="s">
        <v>20</v>
      </c>
      <c r="AF279" s="34" t="s">
        <v>56</v>
      </c>
      <c r="AG279" s="11"/>
    </row>
    <row r="280" spans="1:33" s="12" customFormat="1" ht="21.95" hidden="1" customHeight="1">
      <c r="A280" s="16">
        <v>279</v>
      </c>
      <c r="B280" s="17">
        <v>12</v>
      </c>
      <c r="C280" s="17">
        <v>26303</v>
      </c>
      <c r="D280" s="17" t="s">
        <v>918</v>
      </c>
      <c r="E280" s="143"/>
      <c r="F280" s="21" t="s">
        <v>918</v>
      </c>
      <c r="G280" s="21" t="e">
        <f>VLOOKUP(P280,'CO F3'!$C$2:$M$108,7,FALSE)</f>
        <v>#N/A</v>
      </c>
      <c r="H280" s="21" t="e">
        <f>VLOOKUP(Q280,'CO F3'!$C$2:$M$108,7,FALSE)</f>
        <v>#N/A</v>
      </c>
      <c r="I280" s="17" t="s">
        <v>697</v>
      </c>
      <c r="J280" s="18"/>
      <c r="K280" s="18"/>
      <c r="L280" s="18" t="s">
        <v>13</v>
      </c>
      <c r="M280" s="18"/>
      <c r="N280" s="18"/>
      <c r="O280" s="18"/>
      <c r="P280" s="17" t="s">
        <v>444</v>
      </c>
      <c r="Q280" s="17" t="s">
        <v>849</v>
      </c>
      <c r="R280" s="40" t="s">
        <v>849</v>
      </c>
      <c r="S280" s="40" t="s">
        <v>438</v>
      </c>
      <c r="T280" s="40" t="s">
        <v>442</v>
      </c>
      <c r="U280" s="19" t="s">
        <v>445</v>
      </c>
      <c r="V280" s="13" t="s">
        <v>24</v>
      </c>
      <c r="W280" s="19">
        <v>1</v>
      </c>
      <c r="X280" s="19" t="s">
        <v>446</v>
      </c>
      <c r="Y280" s="19" t="s">
        <v>61</v>
      </c>
      <c r="Z280" s="19">
        <v>1.5</v>
      </c>
      <c r="AA280" s="19">
        <v>1.1859999999999999</v>
      </c>
      <c r="AB280" s="38" t="s">
        <v>30</v>
      </c>
      <c r="AC280" s="19" t="s">
        <v>439</v>
      </c>
      <c r="AD280" s="19" t="s">
        <v>19</v>
      </c>
      <c r="AE280" s="19" t="s">
        <v>20</v>
      </c>
      <c r="AF280" s="19" t="s">
        <v>56</v>
      </c>
      <c r="AG280" s="11"/>
    </row>
    <row r="281" spans="1:33" s="12" customFormat="1" ht="21.95" hidden="1" customHeight="1">
      <c r="A281" s="24">
        <v>280</v>
      </c>
      <c r="B281" s="25">
        <v>12</v>
      </c>
      <c r="C281" s="25">
        <v>26303</v>
      </c>
      <c r="D281" s="25" t="s">
        <v>918</v>
      </c>
      <c r="E281" s="144"/>
      <c r="F281" s="21" t="s">
        <v>918</v>
      </c>
      <c r="G281" s="21" t="e">
        <f>VLOOKUP(P281,'CO F3'!$C$2:$M$108,7,FALSE)</f>
        <v>#N/A</v>
      </c>
      <c r="H281" s="21" t="e">
        <f>VLOOKUP(Q281,'CO F3'!$C$2:$M$108,7,FALSE)</f>
        <v>#N/A</v>
      </c>
      <c r="I281" s="25" t="s">
        <v>697</v>
      </c>
      <c r="J281" s="26"/>
      <c r="K281" s="26"/>
      <c r="L281" s="26" t="s">
        <v>13</v>
      </c>
      <c r="M281" s="26"/>
      <c r="N281" s="26"/>
      <c r="O281" s="26"/>
      <c r="P281" s="25">
        <v>7703011334</v>
      </c>
      <c r="Q281" s="25" t="s">
        <v>849</v>
      </c>
      <c r="R281" s="41" t="s">
        <v>849</v>
      </c>
      <c r="S281" s="41" t="s">
        <v>438</v>
      </c>
      <c r="T281" s="41" t="s">
        <v>442</v>
      </c>
      <c r="U281" s="27" t="s">
        <v>447</v>
      </c>
      <c r="V281" s="15" t="s">
        <v>29</v>
      </c>
      <c r="W281" s="27">
        <v>4</v>
      </c>
      <c r="X281" s="27"/>
      <c r="Y281" s="27"/>
      <c r="Z281" s="27"/>
      <c r="AA281" s="27">
        <v>0.12</v>
      </c>
      <c r="AB281" s="38" t="s">
        <v>30</v>
      </c>
      <c r="AC281" s="27" t="s">
        <v>439</v>
      </c>
      <c r="AD281" s="27" t="s">
        <v>19</v>
      </c>
      <c r="AE281" s="27" t="s">
        <v>20</v>
      </c>
      <c r="AF281" s="27" t="s">
        <v>56</v>
      </c>
      <c r="AG281" s="11"/>
    </row>
    <row r="282" spans="1:33" s="12" customFormat="1" ht="21.95" hidden="1" customHeight="1">
      <c r="A282" s="20">
        <v>281</v>
      </c>
      <c r="B282" s="21">
        <v>12</v>
      </c>
      <c r="C282" s="21">
        <v>23046</v>
      </c>
      <c r="D282" s="21" t="s">
        <v>918</v>
      </c>
      <c r="E282" s="142"/>
      <c r="F282" s="21" t="s">
        <v>918</v>
      </c>
      <c r="G282" s="21" t="s">
        <v>918</v>
      </c>
      <c r="H282" s="21" t="s">
        <v>918</v>
      </c>
      <c r="I282" s="21" t="s">
        <v>697</v>
      </c>
      <c r="J282" s="22" t="s">
        <v>13</v>
      </c>
      <c r="K282" s="22"/>
      <c r="L282" s="22"/>
      <c r="M282" s="22"/>
      <c r="N282" s="22"/>
      <c r="O282" s="22"/>
      <c r="P282" s="21" t="s">
        <v>448</v>
      </c>
      <c r="Q282" s="21" t="s">
        <v>849</v>
      </c>
      <c r="R282" s="39" t="s">
        <v>849</v>
      </c>
      <c r="S282" s="39" t="s">
        <v>449</v>
      </c>
      <c r="T282" s="39"/>
      <c r="U282" s="23" t="s">
        <v>449</v>
      </c>
      <c r="V282" s="14" t="s">
        <v>16</v>
      </c>
      <c r="W282" s="23">
        <v>1</v>
      </c>
      <c r="X282" s="23"/>
      <c r="Y282" s="23"/>
      <c r="Z282" s="23"/>
      <c r="AA282" s="23">
        <v>0.71</v>
      </c>
      <c r="AB282" s="37" t="s">
        <v>17</v>
      </c>
      <c r="AC282" s="23" t="s">
        <v>450</v>
      </c>
      <c r="AD282" s="23" t="s">
        <v>19</v>
      </c>
      <c r="AE282" s="23" t="s">
        <v>20</v>
      </c>
      <c r="AF282" s="23" t="s">
        <v>451</v>
      </c>
      <c r="AG282" s="11"/>
    </row>
    <row r="283" spans="1:33" s="12" customFormat="1" ht="21.95" hidden="1" customHeight="1">
      <c r="A283" s="16">
        <v>282</v>
      </c>
      <c r="B283" s="17">
        <v>12</v>
      </c>
      <c r="C283" s="17">
        <v>23046</v>
      </c>
      <c r="D283" s="17" t="s">
        <v>918</v>
      </c>
      <c r="E283" s="143"/>
      <c r="F283" s="21" t="s">
        <v>918</v>
      </c>
      <c r="G283" s="21" t="e">
        <f>VLOOKUP(P283,'CO F3'!$C$2:$M$108,7,FALSE)</f>
        <v>#N/A</v>
      </c>
      <c r="H283" s="21" t="e">
        <f>VLOOKUP(Q283,'CO F3'!$C$2:$M$108,7,FALSE)</f>
        <v>#N/A</v>
      </c>
      <c r="I283" s="17" t="s">
        <v>697</v>
      </c>
      <c r="J283" s="18"/>
      <c r="K283" s="18" t="s">
        <v>13</v>
      </c>
      <c r="L283" s="18"/>
      <c r="M283" s="18"/>
      <c r="N283" s="18"/>
      <c r="O283" s="18"/>
      <c r="P283" s="17" t="s">
        <v>452</v>
      </c>
      <c r="Q283" s="17" t="s">
        <v>861</v>
      </c>
      <c r="R283" s="40" t="s">
        <v>847</v>
      </c>
      <c r="S283" s="40" t="s">
        <v>449</v>
      </c>
      <c r="T283" s="40" t="s">
        <v>448</v>
      </c>
      <c r="U283" s="19" t="s">
        <v>453</v>
      </c>
      <c r="V283" s="13" t="s">
        <v>24</v>
      </c>
      <c r="W283" s="19">
        <v>1</v>
      </c>
      <c r="X283" s="19" t="s">
        <v>462</v>
      </c>
      <c r="Y283" s="19" t="s">
        <v>38</v>
      </c>
      <c r="Z283" s="19">
        <v>1</v>
      </c>
      <c r="AA283" s="19">
        <v>0.38</v>
      </c>
      <c r="AB283" s="37" t="s">
        <v>17</v>
      </c>
      <c r="AC283" s="19" t="s">
        <v>450</v>
      </c>
      <c r="AD283" s="19" t="s">
        <v>19</v>
      </c>
      <c r="AE283" s="19" t="s">
        <v>20</v>
      </c>
      <c r="AF283" s="19" t="s">
        <v>451</v>
      </c>
      <c r="AG283" s="11"/>
    </row>
    <row r="284" spans="1:33" s="12" customFormat="1" ht="21.95" hidden="1" customHeight="1">
      <c r="A284" s="31">
        <v>283</v>
      </c>
      <c r="B284" s="32">
        <v>12</v>
      </c>
      <c r="C284" s="32">
        <v>23046</v>
      </c>
      <c r="D284" s="32" t="s">
        <v>918</v>
      </c>
      <c r="E284" s="145"/>
      <c r="F284" s="21" t="s">
        <v>918</v>
      </c>
      <c r="G284" s="21" t="e">
        <f>VLOOKUP(P284,'CO F3'!$C$2:$M$108,7,FALSE)</f>
        <v>#N/A</v>
      </c>
      <c r="H284" s="21" t="e">
        <f>VLOOKUP(Q284,'CO F3'!$C$2:$M$108,7,FALSE)</f>
        <v>#N/A</v>
      </c>
      <c r="I284" s="32" t="s">
        <v>697</v>
      </c>
      <c r="J284" s="33"/>
      <c r="K284" s="33" t="s">
        <v>13</v>
      </c>
      <c r="L284" s="33"/>
      <c r="M284" s="33"/>
      <c r="N284" s="33"/>
      <c r="O284" s="33"/>
      <c r="P284" s="32" t="s">
        <v>454</v>
      </c>
      <c r="Q284" s="32" t="s">
        <v>849</v>
      </c>
      <c r="R284" s="42" t="s">
        <v>849</v>
      </c>
      <c r="S284" s="42" t="s">
        <v>449</v>
      </c>
      <c r="T284" s="42" t="s">
        <v>448</v>
      </c>
      <c r="U284" s="34" t="s">
        <v>413</v>
      </c>
      <c r="V284" s="35" t="s">
        <v>41</v>
      </c>
      <c r="W284" s="34">
        <v>1</v>
      </c>
      <c r="X284" s="34"/>
      <c r="Y284" s="34"/>
      <c r="Z284" s="34"/>
      <c r="AA284" s="34"/>
      <c r="AB284" s="37" t="s">
        <v>17</v>
      </c>
      <c r="AC284" s="34" t="s">
        <v>450</v>
      </c>
      <c r="AD284" s="34" t="s">
        <v>19</v>
      </c>
      <c r="AE284" s="34" t="s">
        <v>20</v>
      </c>
      <c r="AF284" s="34" t="s">
        <v>451</v>
      </c>
      <c r="AG284" s="11"/>
    </row>
    <row r="285" spans="1:33" s="12" customFormat="1" ht="21.95" hidden="1" customHeight="1">
      <c r="A285" s="16">
        <v>284</v>
      </c>
      <c r="B285" s="17">
        <v>12</v>
      </c>
      <c r="C285" s="17">
        <v>23046</v>
      </c>
      <c r="D285" s="17" t="s">
        <v>918</v>
      </c>
      <c r="E285" s="143"/>
      <c r="F285" s="21" t="s">
        <v>918</v>
      </c>
      <c r="G285" s="21" t="e">
        <f>VLOOKUP(P285,'CO F3'!$C$2:$M$108,7,FALSE)</f>
        <v>#N/A</v>
      </c>
      <c r="H285" s="21" t="e">
        <f>VLOOKUP(Q285,'CO F3'!$C$2:$M$108,7,FALSE)</f>
        <v>#N/A</v>
      </c>
      <c r="I285" s="17" t="s">
        <v>697</v>
      </c>
      <c r="J285" s="18"/>
      <c r="K285" s="18"/>
      <c r="L285" s="18" t="s">
        <v>13</v>
      </c>
      <c r="M285" s="18"/>
      <c r="N285" s="18"/>
      <c r="O285" s="18"/>
      <c r="P285" s="17" t="s">
        <v>455</v>
      </c>
      <c r="Q285" s="17" t="s">
        <v>849</v>
      </c>
      <c r="R285" s="40" t="s">
        <v>849</v>
      </c>
      <c r="S285" s="40" t="s">
        <v>449</v>
      </c>
      <c r="T285" s="40" t="s">
        <v>412</v>
      </c>
      <c r="U285" s="19" t="s">
        <v>456</v>
      </c>
      <c r="V285" s="13" t="s">
        <v>24</v>
      </c>
      <c r="W285" s="19">
        <v>1</v>
      </c>
      <c r="X285" s="19" t="s">
        <v>833</v>
      </c>
      <c r="Y285" s="19" t="s">
        <v>38</v>
      </c>
      <c r="Z285" s="19">
        <v>1.94</v>
      </c>
      <c r="AA285" s="19">
        <v>0.33</v>
      </c>
      <c r="AB285" s="37" t="s">
        <v>17</v>
      </c>
      <c r="AC285" s="19" t="s">
        <v>450</v>
      </c>
      <c r="AD285" s="19" t="s">
        <v>19</v>
      </c>
      <c r="AE285" s="19" t="s">
        <v>20</v>
      </c>
      <c r="AF285" s="19" t="s">
        <v>451</v>
      </c>
      <c r="AG285" s="11"/>
    </row>
    <row r="286" spans="1:33" s="12" customFormat="1" ht="21.95" hidden="1" customHeight="1">
      <c r="A286" s="24">
        <v>285</v>
      </c>
      <c r="B286" s="25"/>
      <c r="C286" s="25"/>
      <c r="D286" s="25" t="s">
        <v>918</v>
      </c>
      <c r="E286" s="144"/>
      <c r="F286" s="21" t="s">
        <v>917</v>
      </c>
      <c r="G286" s="21" t="e">
        <f>VLOOKUP(P286,'CO F3'!$C$2:$M$108,7,FALSE)</f>
        <v>#N/A</v>
      </c>
      <c r="H286" s="21" t="e">
        <f>VLOOKUP(Q286,'CO F3'!$C$2:$M$108,7,FALSE)</f>
        <v>#N/A</v>
      </c>
      <c r="I286" s="25" t="s">
        <v>697</v>
      </c>
      <c r="J286" s="26"/>
      <c r="K286" s="26"/>
      <c r="L286" s="26" t="s">
        <v>13</v>
      </c>
      <c r="M286" s="26"/>
      <c r="N286" s="26"/>
      <c r="O286" s="26"/>
      <c r="P286" s="25">
        <v>7703042121</v>
      </c>
      <c r="Q286" s="25" t="s">
        <v>849</v>
      </c>
      <c r="R286" s="41" t="s">
        <v>849</v>
      </c>
      <c r="S286" s="41" t="s">
        <v>449</v>
      </c>
      <c r="T286" s="41" t="s">
        <v>412</v>
      </c>
      <c r="U286" s="27" t="s">
        <v>111</v>
      </c>
      <c r="V286" s="15" t="s">
        <v>29</v>
      </c>
      <c r="W286" s="27">
        <v>1</v>
      </c>
      <c r="X286" s="27"/>
      <c r="Y286" s="27"/>
      <c r="Z286" s="27"/>
      <c r="AA286" s="27">
        <v>1.7999999999999999E-2</v>
      </c>
      <c r="AB286" s="38" t="s">
        <v>30</v>
      </c>
      <c r="AC286" s="27" t="s">
        <v>450</v>
      </c>
      <c r="AD286" s="27" t="s">
        <v>19</v>
      </c>
      <c r="AE286" s="27" t="s">
        <v>20</v>
      </c>
      <c r="AF286" s="27" t="s">
        <v>451</v>
      </c>
      <c r="AG286" s="11"/>
    </row>
    <row r="287" spans="1:33" s="12" customFormat="1" ht="21.95" hidden="1" customHeight="1">
      <c r="A287" s="20">
        <v>286</v>
      </c>
      <c r="B287" s="21">
        <v>12</v>
      </c>
      <c r="C287" s="21">
        <v>26303</v>
      </c>
      <c r="D287" s="21" t="s">
        <v>918</v>
      </c>
      <c r="E287" s="142"/>
      <c r="F287" s="21" t="s">
        <v>918</v>
      </c>
      <c r="G287" s="21" t="s">
        <v>918</v>
      </c>
      <c r="H287" s="21" t="s">
        <v>918</v>
      </c>
      <c r="I287" s="21" t="s">
        <v>697</v>
      </c>
      <c r="J287" s="22" t="s">
        <v>13</v>
      </c>
      <c r="K287" s="22"/>
      <c r="L287" s="22"/>
      <c r="M287" s="22"/>
      <c r="N287" s="22"/>
      <c r="O287" s="22"/>
      <c r="P287" s="21" t="s">
        <v>457</v>
      </c>
      <c r="Q287" s="77" t="s">
        <v>15</v>
      </c>
      <c r="R287" s="209" t="s">
        <v>15</v>
      </c>
      <c r="S287" s="39" t="s">
        <v>458</v>
      </c>
      <c r="T287" s="39"/>
      <c r="U287" s="23" t="s">
        <v>458</v>
      </c>
      <c r="V287" s="14" t="s">
        <v>16</v>
      </c>
      <c r="W287" s="23">
        <v>1</v>
      </c>
      <c r="X287" s="23"/>
      <c r="Y287" s="23"/>
      <c r="Z287" s="23"/>
      <c r="AA287" s="23">
        <v>0.68800000000000006</v>
      </c>
      <c r="AB287" s="37" t="s">
        <v>17</v>
      </c>
      <c r="AC287" s="23" t="s">
        <v>459</v>
      </c>
      <c r="AD287" s="23" t="s">
        <v>19</v>
      </c>
      <c r="AE287" s="23" t="s">
        <v>20</v>
      </c>
      <c r="AF287" s="23" t="s">
        <v>35</v>
      </c>
      <c r="AG287" s="11"/>
    </row>
    <row r="288" spans="1:33" s="12" customFormat="1" ht="21.95" hidden="1" customHeight="1">
      <c r="A288" s="16">
        <v>287</v>
      </c>
      <c r="B288" s="17">
        <v>12</v>
      </c>
      <c r="C288" s="17">
        <v>26303</v>
      </c>
      <c r="D288" s="17" t="s">
        <v>918</v>
      </c>
      <c r="E288" s="143"/>
      <c r="F288" s="21" t="s">
        <v>918</v>
      </c>
      <c r="G288" s="21" t="e">
        <f>VLOOKUP(P288,'CO F3'!$C$2:$M$108,7,FALSE)</f>
        <v>#N/A</v>
      </c>
      <c r="H288" s="21" t="e">
        <f>VLOOKUP(Q288,'CO F3'!$C$2:$M$108,7,FALSE)</f>
        <v>#N/A</v>
      </c>
      <c r="I288" s="17" t="s">
        <v>697</v>
      </c>
      <c r="J288" s="18"/>
      <c r="K288" s="18" t="s">
        <v>13</v>
      </c>
      <c r="L288" s="18"/>
      <c r="M288" s="18"/>
      <c r="N288" s="18"/>
      <c r="O288" s="18"/>
      <c r="P288" s="17" t="s">
        <v>460</v>
      </c>
      <c r="Q288" s="17" t="s">
        <v>849</v>
      </c>
      <c r="R288" s="40" t="s">
        <v>849</v>
      </c>
      <c r="S288" s="40" t="s">
        <v>458</v>
      </c>
      <c r="T288" s="40" t="s">
        <v>457</v>
      </c>
      <c r="U288" s="19" t="s">
        <v>461</v>
      </c>
      <c r="V288" s="13" t="s">
        <v>24</v>
      </c>
      <c r="W288" s="19">
        <v>1</v>
      </c>
      <c r="X288" s="19" t="s">
        <v>462</v>
      </c>
      <c r="Y288" s="19" t="s">
        <v>463</v>
      </c>
      <c r="Z288" s="19">
        <v>1.5</v>
      </c>
      <c r="AA288" s="19">
        <v>0.66</v>
      </c>
      <c r="AB288" s="44" t="s">
        <v>27</v>
      </c>
      <c r="AC288" s="19" t="s">
        <v>459</v>
      </c>
      <c r="AD288" s="19" t="s">
        <v>19</v>
      </c>
      <c r="AE288" s="19" t="s">
        <v>20</v>
      </c>
      <c r="AF288" s="19" t="s">
        <v>35</v>
      </c>
      <c r="AG288" s="11"/>
    </row>
    <row r="289" spans="1:33" s="12" customFormat="1" ht="21.95" hidden="1" customHeight="1">
      <c r="A289" s="24">
        <v>288</v>
      </c>
      <c r="B289" s="25">
        <v>12</v>
      </c>
      <c r="C289" s="25">
        <v>26303</v>
      </c>
      <c r="D289" s="25" t="s">
        <v>918</v>
      </c>
      <c r="E289" s="144"/>
      <c r="F289" s="21" t="s">
        <v>917</v>
      </c>
      <c r="G289" s="21" t="e">
        <f>VLOOKUP(P289,'CO F3'!$C$2:$M$108,7,FALSE)</f>
        <v>#N/A</v>
      </c>
      <c r="H289" s="21" t="e">
        <f>VLOOKUP(Q289,'CO F3'!$C$2:$M$108,7,FALSE)</f>
        <v>#N/A</v>
      </c>
      <c r="I289" s="25" t="s">
        <v>697</v>
      </c>
      <c r="J289" s="26"/>
      <c r="K289" s="26" t="s">
        <v>13</v>
      </c>
      <c r="L289" s="26"/>
      <c r="M289" s="26"/>
      <c r="N289" s="26"/>
      <c r="O289" s="26"/>
      <c r="P289" s="25">
        <v>7703042065</v>
      </c>
      <c r="Q289" s="25" t="s">
        <v>849</v>
      </c>
      <c r="R289" s="41" t="s">
        <v>849</v>
      </c>
      <c r="S289" s="41" t="s">
        <v>458</v>
      </c>
      <c r="T289" s="41" t="s">
        <v>457</v>
      </c>
      <c r="U289" s="27" t="s">
        <v>310</v>
      </c>
      <c r="V289" s="15" t="s">
        <v>29</v>
      </c>
      <c r="W289" s="27">
        <v>4</v>
      </c>
      <c r="X289" s="27"/>
      <c r="Y289" s="27"/>
      <c r="Z289" s="27"/>
      <c r="AA289" s="27">
        <v>2.8000000000000001E-2</v>
      </c>
      <c r="AB289" s="38" t="s">
        <v>30</v>
      </c>
      <c r="AC289" s="27" t="s">
        <v>459</v>
      </c>
      <c r="AD289" s="27" t="s">
        <v>19</v>
      </c>
      <c r="AE289" s="27" t="s">
        <v>20</v>
      </c>
      <c r="AF289" s="27" t="s">
        <v>35</v>
      </c>
      <c r="AG289" s="11"/>
    </row>
    <row r="290" spans="1:33" s="12" customFormat="1" ht="21.95" hidden="1" customHeight="1">
      <c r="A290" s="20">
        <v>289</v>
      </c>
      <c r="B290" s="21">
        <v>12</v>
      </c>
      <c r="C290" s="21">
        <v>23046</v>
      </c>
      <c r="D290" s="21" t="s">
        <v>918</v>
      </c>
      <c r="E290" s="142"/>
      <c r="F290" s="21" t="s">
        <v>918</v>
      </c>
      <c r="G290" s="21" t="s">
        <v>918</v>
      </c>
      <c r="H290" s="21" t="s">
        <v>918</v>
      </c>
      <c r="I290" s="21" t="s">
        <v>697</v>
      </c>
      <c r="J290" s="22" t="s">
        <v>13</v>
      </c>
      <c r="K290" s="22"/>
      <c r="L290" s="22"/>
      <c r="M290" s="22"/>
      <c r="N290" s="22"/>
      <c r="O290" s="22"/>
      <c r="P290" s="21" t="s">
        <v>464</v>
      </c>
      <c r="Q290" s="21" t="s">
        <v>861</v>
      </c>
      <c r="R290" s="39" t="s">
        <v>848</v>
      </c>
      <c r="S290" s="39" t="s">
        <v>465</v>
      </c>
      <c r="T290" s="39"/>
      <c r="U290" s="23" t="s">
        <v>465</v>
      </c>
      <c r="V290" s="14" t="s">
        <v>16</v>
      </c>
      <c r="W290" s="23">
        <v>2</v>
      </c>
      <c r="X290" s="23"/>
      <c r="Y290" s="23"/>
      <c r="Z290" s="23"/>
      <c r="AA290" s="23">
        <v>0.186</v>
      </c>
      <c r="AB290" s="37" t="s">
        <v>17</v>
      </c>
      <c r="AC290" s="23" t="s">
        <v>466</v>
      </c>
      <c r="AD290" s="23" t="s">
        <v>19</v>
      </c>
      <c r="AE290" s="23" t="s">
        <v>20</v>
      </c>
      <c r="AF290" s="23" t="s">
        <v>56</v>
      </c>
      <c r="AG290" s="11"/>
    </row>
    <row r="291" spans="1:33" s="12" customFormat="1" ht="21.95" hidden="1" customHeight="1">
      <c r="A291" s="16">
        <v>290</v>
      </c>
      <c r="B291" s="17">
        <v>12</v>
      </c>
      <c r="C291" s="17">
        <v>23046</v>
      </c>
      <c r="D291" s="17" t="s">
        <v>918</v>
      </c>
      <c r="E291" s="143"/>
      <c r="F291" s="21" t="s">
        <v>918</v>
      </c>
      <c r="G291" s="21" t="e">
        <f>VLOOKUP(P291,'CO F3'!$C$2:$M$108,7,FALSE)</f>
        <v>#N/A</v>
      </c>
      <c r="H291" s="21" t="e">
        <f>VLOOKUP(Q291,'CO F3'!$C$2:$M$108,7,FALSE)</f>
        <v>#N/A</v>
      </c>
      <c r="I291" s="17" t="s">
        <v>697</v>
      </c>
      <c r="J291" s="18"/>
      <c r="K291" s="18" t="s">
        <v>13</v>
      </c>
      <c r="L291" s="18"/>
      <c r="M291" s="18"/>
      <c r="N291" s="18"/>
      <c r="O291" s="18"/>
      <c r="P291" s="112" t="s">
        <v>467</v>
      </c>
      <c r="Q291" s="17" t="s">
        <v>861</v>
      </c>
      <c r="R291" s="40" t="s">
        <v>852</v>
      </c>
      <c r="S291" s="40" t="s">
        <v>465</v>
      </c>
      <c r="T291" s="40" t="s">
        <v>464</v>
      </c>
      <c r="U291" s="19" t="s">
        <v>468</v>
      </c>
      <c r="V291" s="13" t="s">
        <v>24</v>
      </c>
      <c r="W291" s="19">
        <v>1</v>
      </c>
      <c r="X291" s="19" t="s">
        <v>462</v>
      </c>
      <c r="Y291" s="19" t="s">
        <v>38</v>
      </c>
      <c r="Z291" s="19">
        <v>1.48</v>
      </c>
      <c r="AA291" s="19">
        <v>0.18</v>
      </c>
      <c r="AB291" s="37" t="s">
        <v>17</v>
      </c>
      <c r="AC291" s="19" t="s">
        <v>466</v>
      </c>
      <c r="AD291" s="19" t="s">
        <v>19</v>
      </c>
      <c r="AE291" s="19" t="s">
        <v>20</v>
      </c>
      <c r="AF291" s="19" t="s">
        <v>56</v>
      </c>
      <c r="AG291" s="11"/>
    </row>
    <row r="292" spans="1:33" s="12" customFormat="1" ht="21.95" hidden="1" customHeight="1">
      <c r="A292" s="24">
        <v>291</v>
      </c>
      <c r="B292" s="25">
        <v>12</v>
      </c>
      <c r="C292" s="25">
        <v>23046</v>
      </c>
      <c r="D292" s="25" t="s">
        <v>918</v>
      </c>
      <c r="E292" s="144"/>
      <c r="F292" s="21" t="s">
        <v>917</v>
      </c>
      <c r="G292" s="21" t="e">
        <f>VLOOKUP(P292,'CO F3'!$C$2:$M$108,7,FALSE)</f>
        <v>#N/A</v>
      </c>
      <c r="H292" s="21" t="e">
        <f>VLOOKUP(Q292,'CO F3'!$C$2:$M$108,7,FALSE)</f>
        <v>#N/A</v>
      </c>
      <c r="I292" s="25" t="s">
        <v>697</v>
      </c>
      <c r="J292" s="26"/>
      <c r="K292" s="26" t="s">
        <v>13</v>
      </c>
      <c r="L292" s="26"/>
      <c r="M292" s="26"/>
      <c r="N292" s="26"/>
      <c r="O292" s="26"/>
      <c r="P292" s="25">
        <v>7703042086</v>
      </c>
      <c r="Q292" s="25" t="s">
        <v>849</v>
      </c>
      <c r="R292" s="41" t="s">
        <v>849</v>
      </c>
      <c r="S292" s="41" t="s">
        <v>465</v>
      </c>
      <c r="T292" s="41" t="s">
        <v>464</v>
      </c>
      <c r="U292" s="27" t="s">
        <v>75</v>
      </c>
      <c r="V292" s="15" t="s">
        <v>29</v>
      </c>
      <c r="W292" s="27">
        <v>1</v>
      </c>
      <c r="X292" s="27"/>
      <c r="Y292" s="27"/>
      <c r="Z292" s="27"/>
      <c r="AA292" s="27">
        <v>6.0000000000000001E-3</v>
      </c>
      <c r="AB292" s="38" t="s">
        <v>30</v>
      </c>
      <c r="AC292" s="27" t="s">
        <v>466</v>
      </c>
      <c r="AD292" s="27" t="s">
        <v>19</v>
      </c>
      <c r="AE292" s="27" t="s">
        <v>20</v>
      </c>
      <c r="AF292" s="27" t="s">
        <v>56</v>
      </c>
      <c r="AG292" s="11"/>
    </row>
    <row r="293" spans="1:33" s="12" customFormat="1" ht="21.95" hidden="1" customHeight="1">
      <c r="A293" s="20">
        <v>292</v>
      </c>
      <c r="B293" s="21">
        <v>12</v>
      </c>
      <c r="C293" s="21">
        <v>23046</v>
      </c>
      <c r="D293" s="21" t="s">
        <v>918</v>
      </c>
      <c r="E293" s="142"/>
      <c r="F293" s="21" t="s">
        <v>918</v>
      </c>
      <c r="G293" s="21" t="s">
        <v>918</v>
      </c>
      <c r="H293" s="21" t="s">
        <v>918</v>
      </c>
      <c r="I293" s="21" t="s">
        <v>697</v>
      </c>
      <c r="J293" s="22" t="s">
        <v>13</v>
      </c>
      <c r="K293" s="22"/>
      <c r="L293" s="22"/>
      <c r="M293" s="22"/>
      <c r="N293" s="22"/>
      <c r="O293" s="22"/>
      <c r="P293" s="21" t="s">
        <v>469</v>
      </c>
      <c r="Q293" s="21" t="s">
        <v>849</v>
      </c>
      <c r="R293" s="39" t="s">
        <v>849</v>
      </c>
      <c r="S293" s="39" t="s">
        <v>465</v>
      </c>
      <c r="T293" s="39"/>
      <c r="U293" s="23" t="s">
        <v>465</v>
      </c>
      <c r="V293" s="14" t="s">
        <v>16</v>
      </c>
      <c r="W293" s="23">
        <v>1</v>
      </c>
      <c r="X293" s="23"/>
      <c r="Y293" s="23"/>
      <c r="Z293" s="23"/>
      <c r="AA293" s="23">
        <v>0.23600000000000002</v>
      </c>
      <c r="AB293" s="37" t="s">
        <v>17</v>
      </c>
      <c r="AC293" s="23" t="s">
        <v>470</v>
      </c>
      <c r="AD293" s="23" t="s">
        <v>19</v>
      </c>
      <c r="AE293" s="23" t="s">
        <v>20</v>
      </c>
      <c r="AF293" s="23" t="s">
        <v>451</v>
      </c>
      <c r="AG293" s="11"/>
    </row>
    <row r="294" spans="1:33" s="12" customFormat="1" ht="21.95" hidden="1" customHeight="1">
      <c r="A294" s="16">
        <v>293</v>
      </c>
      <c r="B294" s="17">
        <v>12</v>
      </c>
      <c r="C294" s="17"/>
      <c r="D294" s="17" t="s">
        <v>918</v>
      </c>
      <c r="E294" s="143"/>
      <c r="F294" s="21" t="s">
        <v>918</v>
      </c>
      <c r="G294" s="21" t="e">
        <f>VLOOKUP(P294,'CO F3'!$C$2:$M$108,7,FALSE)</f>
        <v>#N/A</v>
      </c>
      <c r="H294" s="21" t="e">
        <f>VLOOKUP(Q294,'CO F3'!$C$2:$M$108,7,FALSE)</f>
        <v>#N/A</v>
      </c>
      <c r="I294" s="17" t="s">
        <v>697</v>
      </c>
      <c r="J294" s="18"/>
      <c r="K294" s="18" t="s">
        <v>13</v>
      </c>
      <c r="L294" s="18"/>
      <c r="M294" s="18"/>
      <c r="N294" s="18"/>
      <c r="O294" s="18"/>
      <c r="P294" s="17" t="s">
        <v>471</v>
      </c>
      <c r="Q294" s="17" t="s">
        <v>849</v>
      </c>
      <c r="R294" s="40" t="s">
        <v>849</v>
      </c>
      <c r="S294" s="40" t="s">
        <v>465</v>
      </c>
      <c r="T294" s="40" t="s">
        <v>464</v>
      </c>
      <c r="U294" s="19" t="s">
        <v>468</v>
      </c>
      <c r="V294" s="13" t="s">
        <v>24</v>
      </c>
      <c r="W294" s="19">
        <v>1</v>
      </c>
      <c r="X294" s="19" t="s">
        <v>462</v>
      </c>
      <c r="Y294" s="19" t="s">
        <v>38</v>
      </c>
      <c r="Z294" s="19">
        <v>1.48</v>
      </c>
      <c r="AA294" s="19">
        <v>0.23</v>
      </c>
      <c r="AB294" s="37" t="s">
        <v>17</v>
      </c>
      <c r="AC294" s="19" t="s">
        <v>470</v>
      </c>
      <c r="AD294" s="19" t="s">
        <v>19</v>
      </c>
      <c r="AE294" s="19" t="s">
        <v>20</v>
      </c>
      <c r="AF294" s="19" t="s">
        <v>451</v>
      </c>
      <c r="AG294" s="11"/>
    </row>
    <row r="295" spans="1:33" s="12" customFormat="1" ht="21.95" hidden="1" customHeight="1">
      <c r="A295" s="24">
        <v>294</v>
      </c>
      <c r="B295" s="25">
        <v>12</v>
      </c>
      <c r="C295" s="25"/>
      <c r="D295" s="25" t="s">
        <v>918</v>
      </c>
      <c r="E295" s="144"/>
      <c r="F295" s="21" t="s">
        <v>917</v>
      </c>
      <c r="G295" s="21" t="e">
        <f>VLOOKUP(P295,'CO F3'!$C$2:$M$108,7,FALSE)</f>
        <v>#N/A</v>
      </c>
      <c r="H295" s="21" t="e">
        <f>VLOOKUP(Q295,'CO F3'!$C$2:$M$108,7,FALSE)</f>
        <v>#N/A</v>
      </c>
      <c r="I295" s="25" t="s">
        <v>697</v>
      </c>
      <c r="J295" s="26"/>
      <c r="K295" s="26" t="s">
        <v>13</v>
      </c>
      <c r="L295" s="26"/>
      <c r="M295" s="26"/>
      <c r="N295" s="26"/>
      <c r="O295" s="26"/>
      <c r="P295" s="25">
        <v>7703042086</v>
      </c>
      <c r="Q295" s="25" t="s">
        <v>849</v>
      </c>
      <c r="R295" s="41" t="s">
        <v>849</v>
      </c>
      <c r="S295" s="41" t="s">
        <v>465</v>
      </c>
      <c r="T295" s="41" t="s">
        <v>464</v>
      </c>
      <c r="U295" s="27" t="s">
        <v>75</v>
      </c>
      <c r="V295" s="15" t="s">
        <v>29</v>
      </c>
      <c r="W295" s="27">
        <v>1</v>
      </c>
      <c r="X295" s="27"/>
      <c r="Y295" s="27"/>
      <c r="Z295" s="27"/>
      <c r="AA295" s="27">
        <v>6.0000000000000001E-3</v>
      </c>
      <c r="AB295" s="38" t="s">
        <v>30</v>
      </c>
      <c r="AC295" s="27" t="s">
        <v>470</v>
      </c>
      <c r="AD295" s="27" t="s">
        <v>19</v>
      </c>
      <c r="AE295" s="27" t="s">
        <v>20</v>
      </c>
      <c r="AF295" s="27" t="s">
        <v>451</v>
      </c>
      <c r="AG295" s="11"/>
    </row>
    <row r="296" spans="1:33" s="12" customFormat="1" ht="21.95" hidden="1" customHeight="1">
      <c r="A296" s="20">
        <v>295</v>
      </c>
      <c r="B296" s="21">
        <v>12</v>
      </c>
      <c r="C296" s="21">
        <v>26303</v>
      </c>
      <c r="D296" s="21" t="s">
        <v>918</v>
      </c>
      <c r="E296" s="142"/>
      <c r="F296" s="21" t="s">
        <v>918</v>
      </c>
      <c r="G296" s="21" t="s">
        <v>918</v>
      </c>
      <c r="H296" s="21" t="s">
        <v>918</v>
      </c>
      <c r="I296" s="21" t="s">
        <v>697</v>
      </c>
      <c r="J296" s="22" t="s">
        <v>13</v>
      </c>
      <c r="K296" s="22"/>
      <c r="L296" s="22"/>
      <c r="M296" s="22"/>
      <c r="N296" s="22"/>
      <c r="O296" s="22"/>
      <c r="P296" s="21" t="s">
        <v>472</v>
      </c>
      <c r="Q296" s="21" t="s">
        <v>861</v>
      </c>
      <c r="R296" s="39" t="s">
        <v>848</v>
      </c>
      <c r="S296" s="39" t="s">
        <v>473</v>
      </c>
      <c r="T296" s="39"/>
      <c r="U296" s="23" t="s">
        <v>473</v>
      </c>
      <c r="V296" s="14" t="s">
        <v>16</v>
      </c>
      <c r="W296" s="23">
        <v>2</v>
      </c>
      <c r="X296" s="23"/>
      <c r="Y296" s="23"/>
      <c r="Z296" s="23"/>
      <c r="AA296" s="23">
        <v>0.13600000000000001</v>
      </c>
      <c r="AB296" s="37" t="s">
        <v>17</v>
      </c>
      <c r="AC296" s="23" t="s">
        <v>474</v>
      </c>
      <c r="AD296" s="23" t="s">
        <v>19</v>
      </c>
      <c r="AE296" s="23" t="s">
        <v>20</v>
      </c>
      <c r="AF296" s="23" t="s">
        <v>451</v>
      </c>
      <c r="AG296" s="11"/>
    </row>
    <row r="297" spans="1:33" s="12" customFormat="1" ht="21.95" hidden="1" customHeight="1">
      <c r="A297" s="16">
        <v>296</v>
      </c>
      <c r="B297" s="17">
        <v>12</v>
      </c>
      <c r="C297" s="17">
        <v>26303</v>
      </c>
      <c r="D297" s="17" t="s">
        <v>918</v>
      </c>
      <c r="E297" s="143"/>
      <c r="F297" s="21" t="s">
        <v>918</v>
      </c>
      <c r="G297" s="21" t="e">
        <f>VLOOKUP(P297,'CO F3'!$C$2:$M$108,7,FALSE)</f>
        <v>#N/A</v>
      </c>
      <c r="H297" s="21" t="e">
        <f>VLOOKUP(Q297,'CO F3'!$C$2:$M$108,7,FALSE)</f>
        <v>#N/A</v>
      </c>
      <c r="I297" s="17" t="s">
        <v>697</v>
      </c>
      <c r="J297" s="18"/>
      <c r="K297" s="18" t="s">
        <v>13</v>
      </c>
      <c r="L297" s="18"/>
      <c r="M297" s="18"/>
      <c r="N297" s="18"/>
      <c r="O297" s="18"/>
      <c r="P297" s="17" t="s">
        <v>475</v>
      </c>
      <c r="Q297" s="17" t="s">
        <v>866</v>
      </c>
      <c r="R297" s="40" t="s">
        <v>847</v>
      </c>
      <c r="S297" s="40" t="s">
        <v>473</v>
      </c>
      <c r="T297" s="40" t="s">
        <v>472</v>
      </c>
      <c r="U297" s="19" t="s">
        <v>476</v>
      </c>
      <c r="V297" s="13" t="s">
        <v>24</v>
      </c>
      <c r="W297" s="19">
        <v>2</v>
      </c>
      <c r="X297" s="19" t="s">
        <v>462</v>
      </c>
      <c r="Y297" s="19" t="s">
        <v>38</v>
      </c>
      <c r="Z297" s="19">
        <v>1.2</v>
      </c>
      <c r="AA297" s="19">
        <v>0.1</v>
      </c>
      <c r="AB297" s="37" t="s">
        <v>17</v>
      </c>
      <c r="AC297" s="19" t="s">
        <v>474</v>
      </c>
      <c r="AD297" s="19" t="s">
        <v>19</v>
      </c>
      <c r="AE297" s="19" t="s">
        <v>20</v>
      </c>
      <c r="AF297" s="19" t="s">
        <v>451</v>
      </c>
      <c r="AG297" s="11"/>
    </row>
    <row r="298" spans="1:33" s="12" customFormat="1" ht="21.95" hidden="1" customHeight="1">
      <c r="A298" s="24">
        <v>297</v>
      </c>
      <c r="B298" s="25">
        <v>12</v>
      </c>
      <c r="C298" s="25">
        <v>26303</v>
      </c>
      <c r="D298" s="25" t="s">
        <v>918</v>
      </c>
      <c r="E298" s="144"/>
      <c r="F298" s="21" t="s">
        <v>917</v>
      </c>
      <c r="G298" s="21" t="e">
        <f>VLOOKUP(P298,'CO F3'!$C$2:$M$108,7,FALSE)</f>
        <v>#N/A</v>
      </c>
      <c r="H298" s="21" t="e">
        <f>VLOOKUP(Q298,'CO F3'!$C$2:$M$108,7,FALSE)</f>
        <v>#N/A</v>
      </c>
      <c r="I298" s="25" t="s">
        <v>697</v>
      </c>
      <c r="J298" s="26"/>
      <c r="K298" s="26" t="s">
        <v>13</v>
      </c>
      <c r="L298" s="26"/>
      <c r="M298" s="26"/>
      <c r="N298" s="26"/>
      <c r="O298" s="26"/>
      <c r="P298" s="25">
        <v>7703042065</v>
      </c>
      <c r="Q298" s="25" t="s">
        <v>849</v>
      </c>
      <c r="R298" s="41" t="s">
        <v>849</v>
      </c>
      <c r="S298" s="41" t="s">
        <v>473</v>
      </c>
      <c r="T298" s="41" t="s">
        <v>472</v>
      </c>
      <c r="U298" s="27" t="s">
        <v>310</v>
      </c>
      <c r="V298" s="15" t="s">
        <v>29</v>
      </c>
      <c r="W298" s="27">
        <v>2</v>
      </c>
      <c r="X298" s="27"/>
      <c r="Y298" s="27"/>
      <c r="Z298" s="27"/>
      <c r="AA298" s="27">
        <v>3.5999999999999997E-2</v>
      </c>
      <c r="AB298" s="38" t="s">
        <v>30</v>
      </c>
      <c r="AC298" s="27" t="s">
        <v>474</v>
      </c>
      <c r="AD298" s="27" t="s">
        <v>19</v>
      </c>
      <c r="AE298" s="27" t="s">
        <v>20</v>
      </c>
      <c r="AF298" s="27" t="s">
        <v>451</v>
      </c>
      <c r="AG298" s="11"/>
    </row>
    <row r="299" spans="1:33" s="12" customFormat="1" ht="21.95" hidden="1" customHeight="1">
      <c r="A299" s="20">
        <v>298</v>
      </c>
      <c r="B299" s="21">
        <v>12</v>
      </c>
      <c r="C299" s="21">
        <v>26303</v>
      </c>
      <c r="D299" s="21" t="s">
        <v>918</v>
      </c>
      <c r="E299" s="142"/>
      <c r="F299" s="21" t="s">
        <v>918</v>
      </c>
      <c r="G299" s="21" t="s">
        <v>918</v>
      </c>
      <c r="H299" s="21" t="s">
        <v>918</v>
      </c>
      <c r="I299" s="21" t="s">
        <v>697</v>
      </c>
      <c r="J299" s="22" t="s">
        <v>13</v>
      </c>
      <c r="K299" s="22"/>
      <c r="L299" s="22"/>
      <c r="M299" s="22"/>
      <c r="N299" s="22"/>
      <c r="O299" s="22"/>
      <c r="P299" s="21" t="s">
        <v>477</v>
      </c>
      <c r="Q299" s="77" t="s">
        <v>861</v>
      </c>
      <c r="R299" s="209" t="s">
        <v>848</v>
      </c>
      <c r="S299" s="39" t="s">
        <v>478</v>
      </c>
      <c r="T299" s="39"/>
      <c r="U299" s="23" t="s">
        <v>478</v>
      </c>
      <c r="V299" s="14" t="s">
        <v>16</v>
      </c>
      <c r="W299" s="23">
        <v>1</v>
      </c>
      <c r="X299" s="23"/>
      <c r="Y299" s="23"/>
      <c r="Z299" s="23"/>
      <c r="AA299" s="23">
        <v>0.47699999999999998</v>
      </c>
      <c r="AB299" s="37" t="s">
        <v>17</v>
      </c>
      <c r="AC299" s="23" t="s">
        <v>479</v>
      </c>
      <c r="AD299" s="23" t="s">
        <v>19</v>
      </c>
      <c r="AE299" s="23" t="s">
        <v>20</v>
      </c>
      <c r="AF299" s="23" t="s">
        <v>451</v>
      </c>
      <c r="AG299" s="11"/>
    </row>
    <row r="300" spans="1:33" s="12" customFormat="1" ht="21.95" hidden="1" customHeight="1">
      <c r="A300" s="16">
        <v>299</v>
      </c>
      <c r="B300" s="17">
        <v>12</v>
      </c>
      <c r="C300" s="17">
        <v>26303</v>
      </c>
      <c r="D300" s="17" t="s">
        <v>918</v>
      </c>
      <c r="E300" s="143"/>
      <c r="F300" s="21" t="s">
        <v>918</v>
      </c>
      <c r="G300" s="21" t="e">
        <f>VLOOKUP(P300,'CO F3'!$C$2:$M$108,7,FALSE)</f>
        <v>#N/A</v>
      </c>
      <c r="H300" s="21" t="e">
        <f>VLOOKUP(Q300,'CO F3'!$C$2:$M$108,7,FALSE)</f>
        <v>#N/A</v>
      </c>
      <c r="I300" s="17" t="s">
        <v>697</v>
      </c>
      <c r="J300" s="18"/>
      <c r="K300" s="18" t="s">
        <v>13</v>
      </c>
      <c r="L300" s="18"/>
      <c r="M300" s="18"/>
      <c r="N300" s="18"/>
      <c r="O300" s="18"/>
      <c r="P300" s="17" t="s">
        <v>480</v>
      </c>
      <c r="Q300" s="17" t="s">
        <v>863</v>
      </c>
      <c r="R300" s="40" t="s">
        <v>847</v>
      </c>
      <c r="S300" s="40" t="s">
        <v>478</v>
      </c>
      <c r="T300" s="40" t="s">
        <v>477</v>
      </c>
      <c r="U300" s="19" t="s">
        <v>481</v>
      </c>
      <c r="V300" s="13" t="s">
        <v>24</v>
      </c>
      <c r="W300" s="19">
        <v>1</v>
      </c>
      <c r="X300" s="19" t="s">
        <v>25</v>
      </c>
      <c r="Y300" s="19" t="s">
        <v>843</v>
      </c>
      <c r="Z300" s="19">
        <v>1.8</v>
      </c>
      <c r="AA300" s="19">
        <v>0.43</v>
      </c>
      <c r="AB300" s="37" t="s">
        <v>17</v>
      </c>
      <c r="AC300" s="19" t="s">
        <v>479</v>
      </c>
      <c r="AD300" s="19" t="s">
        <v>19</v>
      </c>
      <c r="AE300" s="19" t="s">
        <v>20</v>
      </c>
      <c r="AF300" s="19" t="s">
        <v>451</v>
      </c>
      <c r="AG300" s="11"/>
    </row>
    <row r="301" spans="1:33" s="12" customFormat="1" ht="21.95" hidden="1" customHeight="1">
      <c r="A301" s="24">
        <v>300</v>
      </c>
      <c r="B301" s="25">
        <v>12</v>
      </c>
      <c r="C301" s="25">
        <v>26303</v>
      </c>
      <c r="D301" s="25" t="s">
        <v>918</v>
      </c>
      <c r="E301" s="144"/>
      <c r="F301" s="21" t="s">
        <v>917</v>
      </c>
      <c r="G301" s="21" t="e">
        <f>VLOOKUP(P301,'CO F3'!$C$2:$M$108,7,FALSE)</f>
        <v>#N/A</v>
      </c>
      <c r="H301" s="21" t="e">
        <f>VLOOKUP(Q301,'CO F3'!$C$2:$M$108,7,FALSE)</f>
        <v>#N/A</v>
      </c>
      <c r="I301" s="25" t="s">
        <v>697</v>
      </c>
      <c r="J301" s="26"/>
      <c r="K301" s="26" t="s">
        <v>13</v>
      </c>
      <c r="L301" s="26"/>
      <c r="M301" s="26"/>
      <c r="N301" s="26"/>
      <c r="O301" s="26"/>
      <c r="P301" s="25">
        <v>7703042086</v>
      </c>
      <c r="Q301" s="25" t="s">
        <v>849</v>
      </c>
      <c r="R301" s="41" t="s">
        <v>849</v>
      </c>
      <c r="S301" s="41" t="s">
        <v>478</v>
      </c>
      <c r="T301" s="41" t="s">
        <v>477</v>
      </c>
      <c r="U301" s="27" t="s">
        <v>75</v>
      </c>
      <c r="V301" s="15" t="s">
        <v>29</v>
      </c>
      <c r="W301" s="27">
        <v>2</v>
      </c>
      <c r="X301" s="27"/>
      <c r="Y301" s="27"/>
      <c r="Z301" s="27"/>
      <c r="AA301" s="27">
        <v>1.2E-2</v>
      </c>
      <c r="AB301" s="38" t="s">
        <v>30</v>
      </c>
      <c r="AC301" s="27" t="s">
        <v>479</v>
      </c>
      <c r="AD301" s="27" t="s">
        <v>19</v>
      </c>
      <c r="AE301" s="27" t="s">
        <v>20</v>
      </c>
      <c r="AF301" s="27" t="s">
        <v>451</v>
      </c>
      <c r="AG301" s="11"/>
    </row>
    <row r="302" spans="1:33" s="12" customFormat="1" ht="21.95" hidden="1" customHeight="1">
      <c r="A302" s="16">
        <v>301</v>
      </c>
      <c r="B302" s="17">
        <v>12</v>
      </c>
      <c r="C302" s="17">
        <v>26303</v>
      </c>
      <c r="D302" s="17" t="s">
        <v>918</v>
      </c>
      <c r="E302" s="143"/>
      <c r="F302" s="21" t="s">
        <v>917</v>
      </c>
      <c r="G302" s="21" t="e">
        <f>VLOOKUP(P302,'CO F3'!$C$2:$M$108,7,FALSE)</f>
        <v>#N/A</v>
      </c>
      <c r="H302" s="21" t="e">
        <f>VLOOKUP(Q302,'CO F3'!$C$2:$M$108,7,FALSE)</f>
        <v>#N/A</v>
      </c>
      <c r="I302" s="17" t="s">
        <v>697</v>
      </c>
      <c r="J302" s="18"/>
      <c r="K302" s="18" t="s">
        <v>13</v>
      </c>
      <c r="L302" s="18"/>
      <c r="M302" s="18"/>
      <c r="N302" s="18"/>
      <c r="O302" s="18"/>
      <c r="P302" s="17">
        <v>7703011177</v>
      </c>
      <c r="Q302" s="17" t="s">
        <v>849</v>
      </c>
      <c r="R302" s="40" t="s">
        <v>849</v>
      </c>
      <c r="S302" s="40" t="s">
        <v>478</v>
      </c>
      <c r="T302" s="40" t="s">
        <v>477</v>
      </c>
      <c r="U302" s="19" t="s">
        <v>482</v>
      </c>
      <c r="V302" s="13" t="s">
        <v>24</v>
      </c>
      <c r="W302" s="19">
        <v>5</v>
      </c>
      <c r="X302" s="19"/>
      <c r="Y302" s="19"/>
      <c r="Z302" s="19"/>
      <c r="AA302" s="19">
        <v>3.5000000000000003E-2</v>
      </c>
      <c r="AB302" s="38" t="s">
        <v>30</v>
      </c>
      <c r="AC302" s="19" t="s">
        <v>479</v>
      </c>
      <c r="AD302" s="19" t="s">
        <v>19</v>
      </c>
      <c r="AE302" s="19" t="s">
        <v>20</v>
      </c>
      <c r="AF302" s="19" t="s">
        <v>451</v>
      </c>
      <c r="AG302" s="11"/>
    </row>
    <row r="303" spans="1:33" s="12" customFormat="1" ht="21.95" hidden="1" customHeight="1">
      <c r="A303" s="20">
        <v>302</v>
      </c>
      <c r="B303" s="21">
        <v>12</v>
      </c>
      <c r="C303" s="21">
        <v>23046</v>
      </c>
      <c r="D303" s="21" t="s">
        <v>918</v>
      </c>
      <c r="E303" s="142"/>
      <c r="F303" s="21" t="s">
        <v>918</v>
      </c>
      <c r="G303" s="21" t="s">
        <v>918</v>
      </c>
      <c r="H303" s="21" t="s">
        <v>918</v>
      </c>
      <c r="I303" s="21" t="s">
        <v>697</v>
      </c>
      <c r="J303" s="22" t="s">
        <v>13</v>
      </c>
      <c r="K303" s="22"/>
      <c r="L303" s="22"/>
      <c r="M303" s="22"/>
      <c r="N303" s="22"/>
      <c r="O303" s="22"/>
      <c r="P303" s="102" t="s">
        <v>483</v>
      </c>
      <c r="Q303" s="21" t="s">
        <v>849</v>
      </c>
      <c r="R303" s="39" t="s">
        <v>849</v>
      </c>
      <c r="S303" s="39" t="s">
        <v>484</v>
      </c>
      <c r="T303" s="39"/>
      <c r="U303" s="23" t="s">
        <v>484</v>
      </c>
      <c r="V303" s="14" t="s">
        <v>16</v>
      </c>
      <c r="W303" s="23">
        <v>2</v>
      </c>
      <c r="X303" s="23"/>
      <c r="Y303" s="23"/>
      <c r="Z303" s="23"/>
      <c r="AA303" s="23">
        <v>0.24</v>
      </c>
      <c r="AB303" s="37" t="s">
        <v>17</v>
      </c>
      <c r="AC303" s="23" t="s">
        <v>485</v>
      </c>
      <c r="AD303" s="23" t="s">
        <v>19</v>
      </c>
      <c r="AE303" s="23" t="s">
        <v>486</v>
      </c>
      <c r="AF303" s="23" t="s">
        <v>90</v>
      </c>
      <c r="AG303" s="11"/>
    </row>
    <row r="304" spans="1:33" s="12" customFormat="1" ht="21.95" hidden="1" customHeight="1">
      <c r="A304" s="16">
        <v>303</v>
      </c>
      <c r="B304" s="17">
        <v>12</v>
      </c>
      <c r="C304" s="17">
        <v>23046</v>
      </c>
      <c r="D304" s="17" t="s">
        <v>918</v>
      </c>
      <c r="E304" s="143"/>
      <c r="F304" s="21" t="s">
        <v>918</v>
      </c>
      <c r="G304" s="21" t="e">
        <f>VLOOKUP(P304,'CO F3'!$C$2:$M$108,7,FALSE)</f>
        <v>#N/A</v>
      </c>
      <c r="H304" s="21" t="e">
        <f>VLOOKUP(Q304,'CO F3'!$C$2:$M$108,7,FALSE)</f>
        <v>#N/A</v>
      </c>
      <c r="I304" s="17" t="s">
        <v>697</v>
      </c>
      <c r="J304" s="18"/>
      <c r="K304" s="18" t="s">
        <v>13</v>
      </c>
      <c r="L304" s="18"/>
      <c r="M304" s="18"/>
      <c r="N304" s="18"/>
      <c r="O304" s="18"/>
      <c r="P304" s="17" t="s">
        <v>487</v>
      </c>
      <c r="Q304" s="17" t="s">
        <v>863</v>
      </c>
      <c r="R304" s="40" t="s">
        <v>848</v>
      </c>
      <c r="S304" s="40" t="s">
        <v>484</v>
      </c>
      <c r="T304" s="40" t="s">
        <v>483</v>
      </c>
      <c r="U304" s="19" t="s">
        <v>456</v>
      </c>
      <c r="V304" s="13" t="s">
        <v>24</v>
      </c>
      <c r="W304" s="19">
        <v>1</v>
      </c>
      <c r="X304" s="19" t="s">
        <v>462</v>
      </c>
      <c r="Y304" s="19" t="s">
        <v>38</v>
      </c>
      <c r="Z304" s="19">
        <v>1.5</v>
      </c>
      <c r="AA304" s="19">
        <v>0.24</v>
      </c>
      <c r="AB304" s="37" t="s">
        <v>17</v>
      </c>
      <c r="AC304" s="19"/>
      <c r="AD304" s="19"/>
      <c r="AE304" s="19" t="s">
        <v>486</v>
      </c>
      <c r="AF304" s="19" t="s">
        <v>90</v>
      </c>
      <c r="AG304" s="11"/>
    </row>
    <row r="305" spans="1:33" s="12" customFormat="1" ht="21.95" hidden="1" customHeight="1">
      <c r="A305" s="24">
        <v>304</v>
      </c>
      <c r="B305" s="25">
        <v>12</v>
      </c>
      <c r="C305" s="25">
        <v>23046</v>
      </c>
      <c r="D305" s="25" t="s">
        <v>918</v>
      </c>
      <c r="E305" s="144"/>
      <c r="F305" s="21" t="s">
        <v>917</v>
      </c>
      <c r="G305" s="21" t="e">
        <f>VLOOKUP(P305,'CO F3'!$C$2:$M$108,7,FALSE)</f>
        <v>#N/A</v>
      </c>
      <c r="H305" s="21" t="e">
        <f>VLOOKUP(Q305,'CO F3'!$C$2:$M$108,7,FALSE)</f>
        <v>#N/A</v>
      </c>
      <c r="I305" s="25" t="s">
        <v>697</v>
      </c>
      <c r="J305" s="26"/>
      <c r="K305" s="26" t="s">
        <v>13</v>
      </c>
      <c r="L305" s="26"/>
      <c r="M305" s="26"/>
      <c r="N305" s="26"/>
      <c r="O305" s="26"/>
      <c r="P305" s="25">
        <v>7703042121</v>
      </c>
      <c r="Q305" s="25" t="s">
        <v>849</v>
      </c>
      <c r="R305" s="41" t="s">
        <v>849</v>
      </c>
      <c r="S305" s="41" t="s">
        <v>484</v>
      </c>
      <c r="T305" s="41" t="s">
        <v>483</v>
      </c>
      <c r="U305" s="27" t="s">
        <v>111</v>
      </c>
      <c r="V305" s="15" t="s">
        <v>29</v>
      </c>
      <c r="W305" s="27">
        <v>1</v>
      </c>
      <c r="X305" s="27"/>
      <c r="Y305" s="27"/>
      <c r="Z305" s="27"/>
      <c r="AA305" s="27">
        <v>0</v>
      </c>
      <c r="AB305" s="38" t="s">
        <v>30</v>
      </c>
      <c r="AC305" s="27"/>
      <c r="AD305" s="27"/>
      <c r="AE305" s="27" t="s">
        <v>486</v>
      </c>
      <c r="AF305" s="27" t="s">
        <v>90</v>
      </c>
      <c r="AG305" s="11"/>
    </row>
    <row r="306" spans="1:33" s="12" customFormat="1" ht="21.95" hidden="1" customHeight="1">
      <c r="A306" s="20">
        <v>305</v>
      </c>
      <c r="B306" s="21">
        <v>12</v>
      </c>
      <c r="C306" s="21">
        <v>23046</v>
      </c>
      <c r="D306" s="21" t="s">
        <v>918</v>
      </c>
      <c r="E306" s="142"/>
      <c r="F306" s="21" t="s">
        <v>918</v>
      </c>
      <c r="G306" s="21" t="s">
        <v>918</v>
      </c>
      <c r="H306" s="21" t="s">
        <v>918</v>
      </c>
      <c r="I306" s="21" t="s">
        <v>697</v>
      </c>
      <c r="J306" s="22" t="s">
        <v>13</v>
      </c>
      <c r="K306" s="22"/>
      <c r="L306" s="22"/>
      <c r="M306" s="22"/>
      <c r="N306" s="22"/>
      <c r="O306" s="22"/>
      <c r="P306" s="21" t="s">
        <v>488</v>
      </c>
      <c r="Q306" s="21" t="s">
        <v>849</v>
      </c>
      <c r="R306" s="39" t="s">
        <v>849</v>
      </c>
      <c r="S306" s="39" t="s">
        <v>489</v>
      </c>
      <c r="T306" s="39"/>
      <c r="U306" s="23" t="s">
        <v>489</v>
      </c>
      <c r="V306" s="14" t="s">
        <v>16</v>
      </c>
      <c r="W306" s="23">
        <v>1</v>
      </c>
      <c r="X306" s="23"/>
      <c r="Y306" s="23"/>
      <c r="Z306" s="23"/>
      <c r="AA306" s="23">
        <v>2.19</v>
      </c>
      <c r="AB306" s="37" t="s">
        <v>17</v>
      </c>
      <c r="AC306" s="23" t="s">
        <v>490</v>
      </c>
      <c r="AD306" s="23" t="s">
        <v>19</v>
      </c>
      <c r="AE306" s="23" t="s">
        <v>20</v>
      </c>
      <c r="AF306" s="23" t="s">
        <v>35</v>
      </c>
      <c r="AG306" s="11"/>
    </row>
    <row r="307" spans="1:33" s="12" customFormat="1" ht="21.95" hidden="1" customHeight="1">
      <c r="A307" s="16">
        <v>306</v>
      </c>
      <c r="B307" s="17">
        <v>12</v>
      </c>
      <c r="C307" s="17">
        <v>23046</v>
      </c>
      <c r="D307" s="17" t="s">
        <v>918</v>
      </c>
      <c r="E307" s="143"/>
      <c r="F307" s="21" t="s">
        <v>918</v>
      </c>
      <c r="G307" s="21" t="e">
        <f>VLOOKUP(P307,'CO F3'!$C$2:$M$108,7,FALSE)</f>
        <v>#N/A</v>
      </c>
      <c r="H307" s="21" t="e">
        <f>VLOOKUP(Q307,'CO F3'!$C$2:$M$108,7,FALSE)</f>
        <v>#N/A</v>
      </c>
      <c r="I307" s="17" t="s">
        <v>697</v>
      </c>
      <c r="J307" s="18"/>
      <c r="K307" s="18" t="s">
        <v>13</v>
      </c>
      <c r="L307" s="18"/>
      <c r="M307" s="18"/>
      <c r="N307" s="18"/>
      <c r="O307" s="18"/>
      <c r="P307" s="17" t="s">
        <v>491</v>
      </c>
      <c r="Q307" s="17" t="s">
        <v>863</v>
      </c>
      <c r="R307" s="40" t="s">
        <v>847</v>
      </c>
      <c r="S307" s="40" t="s">
        <v>489</v>
      </c>
      <c r="T307" s="40" t="s">
        <v>488</v>
      </c>
      <c r="U307" s="19" t="s">
        <v>492</v>
      </c>
      <c r="V307" s="13" t="s">
        <v>24</v>
      </c>
      <c r="W307" s="19">
        <v>1</v>
      </c>
      <c r="X307" s="19" t="s">
        <v>462</v>
      </c>
      <c r="Y307" s="19" t="s">
        <v>38</v>
      </c>
      <c r="Z307" s="19">
        <v>1.46</v>
      </c>
      <c r="AA307" s="19">
        <v>1.25</v>
      </c>
      <c r="AB307" s="37" t="s">
        <v>17</v>
      </c>
      <c r="AC307" s="19" t="s">
        <v>490</v>
      </c>
      <c r="AD307" s="19" t="s">
        <v>19</v>
      </c>
      <c r="AE307" s="19" t="s">
        <v>20</v>
      </c>
      <c r="AF307" s="19" t="s">
        <v>35</v>
      </c>
      <c r="AG307" s="11"/>
    </row>
    <row r="308" spans="1:33" s="12" customFormat="1" ht="21.95" hidden="1" customHeight="1">
      <c r="A308" s="31">
        <v>307</v>
      </c>
      <c r="B308" s="32">
        <v>12</v>
      </c>
      <c r="C308" s="32">
        <v>23046</v>
      </c>
      <c r="D308" s="32" t="s">
        <v>918</v>
      </c>
      <c r="E308" s="145"/>
      <c r="F308" s="21" t="s">
        <v>918</v>
      </c>
      <c r="G308" s="21" t="e">
        <f>VLOOKUP(P308,'CO F3'!$C$2:$M$108,7,FALSE)</f>
        <v>#N/A</v>
      </c>
      <c r="H308" s="21" t="e">
        <f>VLOOKUP(Q308,'CO F3'!$C$2:$M$108,7,FALSE)</f>
        <v>#N/A</v>
      </c>
      <c r="I308" s="32" t="s">
        <v>697</v>
      </c>
      <c r="J308" s="33"/>
      <c r="K308" s="33" t="s">
        <v>13</v>
      </c>
      <c r="L308" s="33"/>
      <c r="M308" s="33"/>
      <c r="N308" s="33"/>
      <c r="O308" s="33"/>
      <c r="P308" s="32" t="s">
        <v>493</v>
      </c>
      <c r="Q308" s="32" t="s">
        <v>849</v>
      </c>
      <c r="R308" s="42" t="s">
        <v>849</v>
      </c>
      <c r="S308" s="42" t="s">
        <v>489</v>
      </c>
      <c r="T308" s="42" t="s">
        <v>488</v>
      </c>
      <c r="U308" s="34" t="s">
        <v>817</v>
      </c>
      <c r="V308" s="35" t="s">
        <v>41</v>
      </c>
      <c r="W308" s="34">
        <v>1</v>
      </c>
      <c r="X308" s="34"/>
      <c r="Y308" s="34"/>
      <c r="Z308" s="34"/>
      <c r="AA308" s="34">
        <v>0</v>
      </c>
      <c r="AB308" s="37" t="s">
        <v>17</v>
      </c>
      <c r="AC308" s="34" t="s">
        <v>490</v>
      </c>
      <c r="AD308" s="34" t="s">
        <v>19</v>
      </c>
      <c r="AE308" s="34" t="s">
        <v>20</v>
      </c>
      <c r="AF308" s="34" t="s">
        <v>35</v>
      </c>
      <c r="AG308" s="11"/>
    </row>
    <row r="309" spans="1:33" s="12" customFormat="1" ht="21.95" hidden="1" customHeight="1">
      <c r="A309" s="16">
        <v>308</v>
      </c>
      <c r="B309" s="17">
        <v>12</v>
      </c>
      <c r="C309" s="17">
        <v>23046</v>
      </c>
      <c r="D309" s="17" t="s">
        <v>918</v>
      </c>
      <c r="E309" s="143"/>
      <c r="F309" s="21" t="s">
        <v>918</v>
      </c>
      <c r="G309" s="21" t="e">
        <f>VLOOKUP(P309,'CO F3'!$C$2:$M$108,7,FALSE)</f>
        <v>#N/A</v>
      </c>
      <c r="H309" s="21" t="e">
        <f>VLOOKUP(Q309,'CO F3'!$C$2:$M$108,7,FALSE)</f>
        <v>#N/A</v>
      </c>
      <c r="I309" s="17" t="s">
        <v>697</v>
      </c>
      <c r="J309" s="18"/>
      <c r="K309" s="18"/>
      <c r="L309" s="18" t="s">
        <v>13</v>
      </c>
      <c r="M309" s="18"/>
      <c r="N309" s="18"/>
      <c r="O309" s="18"/>
      <c r="P309" s="17" t="s">
        <v>494</v>
      </c>
      <c r="Q309" s="17" t="s">
        <v>863</v>
      </c>
      <c r="R309" s="40" t="s">
        <v>852</v>
      </c>
      <c r="S309" s="40" t="s">
        <v>489</v>
      </c>
      <c r="T309" s="40" t="s">
        <v>493</v>
      </c>
      <c r="U309" s="19" t="s">
        <v>818</v>
      </c>
      <c r="V309" s="13" t="s">
        <v>24</v>
      </c>
      <c r="W309" s="19">
        <v>1</v>
      </c>
      <c r="X309" s="19" t="s">
        <v>462</v>
      </c>
      <c r="Y309" s="19" t="s">
        <v>38</v>
      </c>
      <c r="Z309" s="19">
        <v>1.46</v>
      </c>
      <c r="AA309" s="19">
        <v>0.91</v>
      </c>
      <c r="AB309" s="37" t="s">
        <v>17</v>
      </c>
      <c r="AC309" s="19" t="s">
        <v>490</v>
      </c>
      <c r="AD309" s="19" t="s">
        <v>19</v>
      </c>
      <c r="AE309" s="19" t="s">
        <v>20</v>
      </c>
      <c r="AF309" s="19" t="s">
        <v>35</v>
      </c>
      <c r="AG309" s="11"/>
    </row>
    <row r="310" spans="1:33" s="12" customFormat="1" ht="21.95" hidden="1" customHeight="1">
      <c r="A310" s="24">
        <v>309</v>
      </c>
      <c r="B310" s="25">
        <v>12</v>
      </c>
      <c r="C310" s="25">
        <v>23046</v>
      </c>
      <c r="D310" s="25" t="s">
        <v>918</v>
      </c>
      <c r="E310" s="144"/>
      <c r="F310" s="21" t="s">
        <v>917</v>
      </c>
      <c r="G310" s="21" t="e">
        <f>VLOOKUP(P310,'CO F3'!$C$2:$M$108,7,FALSE)</f>
        <v>#N/A</v>
      </c>
      <c r="H310" s="21" t="e">
        <f>VLOOKUP(Q310,'CO F3'!$C$2:$M$108,7,FALSE)</f>
        <v>#N/A</v>
      </c>
      <c r="I310" s="25" t="s">
        <v>697</v>
      </c>
      <c r="J310" s="26"/>
      <c r="K310" s="26"/>
      <c r="L310" s="26" t="s">
        <v>13</v>
      </c>
      <c r="M310" s="26"/>
      <c r="N310" s="26"/>
      <c r="O310" s="26"/>
      <c r="P310" s="25">
        <v>7703011221</v>
      </c>
      <c r="Q310" s="25" t="s">
        <v>849</v>
      </c>
      <c r="R310" s="41" t="s">
        <v>849</v>
      </c>
      <c r="S310" s="41" t="s">
        <v>489</v>
      </c>
      <c r="T310" s="41" t="s">
        <v>493</v>
      </c>
      <c r="U310" s="27" t="s">
        <v>495</v>
      </c>
      <c r="V310" s="15" t="s">
        <v>29</v>
      </c>
      <c r="W310" s="27">
        <v>3</v>
      </c>
      <c r="X310" s="27"/>
      <c r="Y310" s="27"/>
      <c r="Z310" s="27"/>
      <c r="AA310" s="27">
        <v>0.01</v>
      </c>
      <c r="AB310" s="38" t="s">
        <v>30</v>
      </c>
      <c r="AC310" s="27" t="s">
        <v>490</v>
      </c>
      <c r="AD310" s="27" t="s">
        <v>19</v>
      </c>
      <c r="AE310" s="27" t="s">
        <v>20</v>
      </c>
      <c r="AF310" s="27" t="s">
        <v>35</v>
      </c>
      <c r="AG310" s="11"/>
    </row>
    <row r="311" spans="1:33" s="12" customFormat="1" ht="21.95" hidden="1" customHeight="1">
      <c r="A311" s="20">
        <v>310</v>
      </c>
      <c r="B311" s="21">
        <v>12</v>
      </c>
      <c r="C311" s="21">
        <v>23045</v>
      </c>
      <c r="D311" s="21"/>
      <c r="E311" s="142"/>
      <c r="F311" s="21" t="s">
        <v>917</v>
      </c>
      <c r="G311" s="21" t="s">
        <v>917</v>
      </c>
      <c r="H311" s="21" t="e">
        <f>VLOOKUP(Q311,'CO F3'!$C$2:$M$108,7,FALSE)</f>
        <v>#N/A</v>
      </c>
      <c r="I311" s="21"/>
      <c r="J311" s="22" t="s">
        <v>13</v>
      </c>
      <c r="K311" s="22"/>
      <c r="L311" s="22"/>
      <c r="M311" s="22"/>
      <c r="N311" s="22"/>
      <c r="O311" s="22"/>
      <c r="P311" s="21" t="s">
        <v>496</v>
      </c>
      <c r="Q311" s="21" t="s">
        <v>849</v>
      </c>
      <c r="R311" s="39" t="s">
        <v>849</v>
      </c>
      <c r="S311" s="39" t="s">
        <v>497</v>
      </c>
      <c r="T311" s="39"/>
      <c r="U311" s="23" t="s">
        <v>497</v>
      </c>
      <c r="V311" s="14" t="s">
        <v>16</v>
      </c>
      <c r="W311" s="23">
        <v>1</v>
      </c>
      <c r="X311" s="23"/>
      <c r="Y311" s="23"/>
      <c r="Z311" s="23"/>
      <c r="AA311" s="23">
        <v>2.2759999999999998</v>
      </c>
      <c r="AB311" s="37" t="s">
        <v>17</v>
      </c>
      <c r="AC311" s="23"/>
      <c r="AD311" s="23" t="s">
        <v>498</v>
      </c>
      <c r="AE311" s="23"/>
      <c r="AF311" s="23" t="s">
        <v>499</v>
      </c>
      <c r="AG311" s="11"/>
    </row>
    <row r="312" spans="1:33" s="12" customFormat="1" ht="21.95" hidden="1" customHeight="1">
      <c r="A312" s="16">
        <v>311</v>
      </c>
      <c r="B312" s="17">
        <v>12</v>
      </c>
      <c r="C312" s="17">
        <v>23045</v>
      </c>
      <c r="D312" s="17"/>
      <c r="E312" s="143"/>
      <c r="F312" s="21" t="s">
        <v>917</v>
      </c>
      <c r="G312" s="21" t="e">
        <f>VLOOKUP(P312,'CO F3'!$C$2:$M$108,7,FALSE)</f>
        <v>#N/A</v>
      </c>
      <c r="H312" s="21" t="e">
        <f>VLOOKUP(Q312,'CO F3'!$C$2:$M$108,7,FALSE)</f>
        <v>#N/A</v>
      </c>
      <c r="I312" s="17"/>
      <c r="J312" s="18"/>
      <c r="K312" s="18" t="s">
        <v>13</v>
      </c>
      <c r="L312" s="18"/>
      <c r="M312" s="18"/>
      <c r="N312" s="18"/>
      <c r="O312" s="18"/>
      <c r="P312" s="17" t="s">
        <v>500</v>
      </c>
      <c r="Q312" s="17" t="s">
        <v>849</v>
      </c>
      <c r="R312" s="40" t="s">
        <v>849</v>
      </c>
      <c r="S312" s="40" t="s">
        <v>497</v>
      </c>
      <c r="T312" s="40" t="s">
        <v>496</v>
      </c>
      <c r="U312" s="19" t="s">
        <v>501</v>
      </c>
      <c r="V312" s="13" t="s">
        <v>24</v>
      </c>
      <c r="W312" s="19">
        <v>1</v>
      </c>
      <c r="X312" s="19" t="s">
        <v>836</v>
      </c>
      <c r="Y312" s="19" t="s">
        <v>316</v>
      </c>
      <c r="Z312" s="19">
        <v>1.2</v>
      </c>
      <c r="AA312" s="19">
        <v>2.2639999999999998</v>
      </c>
      <c r="AB312" s="45" t="s">
        <v>502</v>
      </c>
      <c r="AC312" s="19"/>
      <c r="AD312" s="19"/>
      <c r="AE312" s="19"/>
      <c r="AF312" s="19" t="s">
        <v>499</v>
      </c>
      <c r="AG312" s="11"/>
    </row>
    <row r="313" spans="1:33" s="12" customFormat="1" ht="21.95" hidden="1" customHeight="1">
      <c r="A313" s="24">
        <v>312</v>
      </c>
      <c r="B313" s="25">
        <v>12</v>
      </c>
      <c r="C313" s="25">
        <v>23045</v>
      </c>
      <c r="D313" s="25"/>
      <c r="E313" s="144"/>
      <c r="F313" s="21" t="s">
        <v>917</v>
      </c>
      <c r="G313" s="21" t="e">
        <f>VLOOKUP(P313,'CO F3'!$C$2:$M$108,7,FALSE)</f>
        <v>#N/A</v>
      </c>
      <c r="H313" s="21" t="e">
        <f>VLOOKUP(Q313,'CO F3'!$C$2:$M$108,7,FALSE)</f>
        <v>#N/A</v>
      </c>
      <c r="I313" s="25"/>
      <c r="J313" s="26"/>
      <c r="K313" s="26" t="s">
        <v>13</v>
      </c>
      <c r="L313" s="26"/>
      <c r="M313" s="26"/>
      <c r="N313" s="26"/>
      <c r="O313" s="26"/>
      <c r="P313" s="25">
        <v>7703042065</v>
      </c>
      <c r="Q313" s="25" t="s">
        <v>849</v>
      </c>
      <c r="R313" s="41" t="s">
        <v>849</v>
      </c>
      <c r="S313" s="41" t="s">
        <v>497</v>
      </c>
      <c r="T313" s="41" t="s">
        <v>496</v>
      </c>
      <c r="U313" s="27" t="s">
        <v>503</v>
      </c>
      <c r="V313" s="15" t="s">
        <v>29</v>
      </c>
      <c r="W313" s="27">
        <v>2</v>
      </c>
      <c r="X313" s="27"/>
      <c r="Y313" s="27"/>
      <c r="Z313" s="27"/>
      <c r="AA313" s="27">
        <v>1.2E-2</v>
      </c>
      <c r="AB313" s="38" t="s">
        <v>30</v>
      </c>
      <c r="AC313" s="27"/>
      <c r="AD313" s="27"/>
      <c r="AE313" s="27"/>
      <c r="AF313" s="27" t="s">
        <v>499</v>
      </c>
      <c r="AG313" s="11"/>
    </row>
    <row r="314" spans="1:33" s="12" customFormat="1" ht="21.95" hidden="1" customHeight="1">
      <c r="A314" s="20">
        <v>313</v>
      </c>
      <c r="B314" s="21">
        <v>12</v>
      </c>
      <c r="C314" s="21">
        <v>22969</v>
      </c>
      <c r="D314" s="21" t="s">
        <v>918</v>
      </c>
      <c r="E314" s="142"/>
      <c r="F314" s="21" t="s">
        <v>918</v>
      </c>
      <c r="G314" s="21" t="s">
        <v>918</v>
      </c>
      <c r="H314" s="21" t="s">
        <v>918</v>
      </c>
      <c r="I314" s="21" t="s">
        <v>697</v>
      </c>
      <c r="J314" s="22" t="s">
        <v>13</v>
      </c>
      <c r="K314" s="22"/>
      <c r="L314" s="22"/>
      <c r="M314" s="22"/>
      <c r="N314" s="22"/>
      <c r="O314" s="22"/>
      <c r="P314" s="21" t="s">
        <v>504</v>
      </c>
      <c r="Q314" s="21" t="s">
        <v>861</v>
      </c>
      <c r="R314" s="39" t="s">
        <v>847</v>
      </c>
      <c r="S314" s="39" t="s">
        <v>505</v>
      </c>
      <c r="T314" s="39"/>
      <c r="U314" s="23" t="s">
        <v>505</v>
      </c>
      <c r="V314" s="14" t="s">
        <v>16</v>
      </c>
      <c r="W314" s="23">
        <v>1</v>
      </c>
      <c r="X314" s="23"/>
      <c r="Y314" s="23"/>
      <c r="Z314" s="23"/>
      <c r="AA314" s="23">
        <v>8.081999999999999</v>
      </c>
      <c r="AB314" s="37" t="s">
        <v>17</v>
      </c>
      <c r="AC314" s="23" t="s">
        <v>506</v>
      </c>
      <c r="AD314" s="23" t="s">
        <v>19</v>
      </c>
      <c r="AE314" s="23" t="s">
        <v>20</v>
      </c>
      <c r="AF314" s="23" t="s">
        <v>138</v>
      </c>
      <c r="AG314" s="11"/>
    </row>
    <row r="315" spans="1:33" s="12" customFormat="1" ht="21.95" hidden="1" customHeight="1">
      <c r="A315" s="16">
        <v>314</v>
      </c>
      <c r="B315" s="17">
        <v>12</v>
      </c>
      <c r="C315" s="17">
        <v>22969</v>
      </c>
      <c r="D315" s="17" t="s">
        <v>918</v>
      </c>
      <c r="E315" s="143"/>
      <c r="F315" s="21" t="s">
        <v>918</v>
      </c>
      <c r="G315" s="21" t="e">
        <f>VLOOKUP(P315,'CO F3'!$C$2:$M$108,7,FALSE)</f>
        <v>#N/A</v>
      </c>
      <c r="H315" s="21" t="e">
        <f>VLOOKUP(Q315,'CO F3'!$C$2:$M$108,7,FALSE)</f>
        <v>#N/A</v>
      </c>
      <c r="I315" s="17" t="s">
        <v>697</v>
      </c>
      <c r="J315" s="18"/>
      <c r="K315" s="18" t="s">
        <v>13</v>
      </c>
      <c r="L315" s="18"/>
      <c r="M315" s="18"/>
      <c r="N315" s="18"/>
      <c r="O315" s="18"/>
      <c r="P315" s="17" t="s">
        <v>507</v>
      </c>
      <c r="Q315" s="17" t="s">
        <v>861</v>
      </c>
      <c r="R315" s="40" t="s">
        <v>847</v>
      </c>
      <c r="S315" s="40" t="s">
        <v>505</v>
      </c>
      <c r="T315" s="40" t="s">
        <v>504</v>
      </c>
      <c r="U315" s="19" t="s">
        <v>508</v>
      </c>
      <c r="V315" s="13" t="s">
        <v>24</v>
      </c>
      <c r="W315" s="19">
        <v>1</v>
      </c>
      <c r="X315" s="19" t="s">
        <v>25</v>
      </c>
      <c r="Y315" s="19" t="s">
        <v>316</v>
      </c>
      <c r="Z315" s="19">
        <v>1.2</v>
      </c>
      <c r="AA315" s="19">
        <v>3.24</v>
      </c>
      <c r="AB315" s="44" t="s">
        <v>27</v>
      </c>
      <c r="AC315" s="19" t="s">
        <v>506</v>
      </c>
      <c r="AD315" s="19" t="s">
        <v>19</v>
      </c>
      <c r="AE315" s="19" t="s">
        <v>20</v>
      </c>
      <c r="AF315" s="19" t="s">
        <v>138</v>
      </c>
      <c r="AG315" s="11"/>
    </row>
    <row r="316" spans="1:33" s="12" customFormat="1" ht="21.95" hidden="1" customHeight="1">
      <c r="A316" s="31">
        <v>315</v>
      </c>
      <c r="B316" s="32">
        <v>12</v>
      </c>
      <c r="C316" s="32">
        <v>22969</v>
      </c>
      <c r="D316" s="32" t="s">
        <v>918</v>
      </c>
      <c r="E316" s="145"/>
      <c r="F316" s="21" t="s">
        <v>918</v>
      </c>
      <c r="G316" s="21" t="e">
        <f>VLOOKUP(P316,'CO F3'!$C$2:$M$108,7,FALSE)</f>
        <v>#N/A</v>
      </c>
      <c r="H316" s="21" t="e">
        <f>VLOOKUP(Q316,'CO F3'!$C$2:$M$108,7,FALSE)</f>
        <v>#N/A</v>
      </c>
      <c r="I316" s="32" t="s">
        <v>697</v>
      </c>
      <c r="J316" s="33"/>
      <c r="K316" s="33" t="s">
        <v>13</v>
      </c>
      <c r="L316" s="33"/>
      <c r="M316" s="33"/>
      <c r="N316" s="33"/>
      <c r="O316" s="33"/>
      <c r="P316" s="32" t="s">
        <v>509</v>
      </c>
      <c r="Q316" s="32" t="s">
        <v>849</v>
      </c>
      <c r="R316" s="42" t="s">
        <v>849</v>
      </c>
      <c r="S316" s="42" t="s">
        <v>505</v>
      </c>
      <c r="T316" s="42" t="s">
        <v>504</v>
      </c>
      <c r="U316" s="34" t="s">
        <v>510</v>
      </c>
      <c r="V316" s="35" t="s">
        <v>41</v>
      </c>
      <c r="W316" s="34">
        <v>1</v>
      </c>
      <c r="X316" s="34"/>
      <c r="Y316" s="34"/>
      <c r="Z316" s="34"/>
      <c r="AA316" s="34">
        <v>0</v>
      </c>
      <c r="AB316" s="37" t="s">
        <v>17</v>
      </c>
      <c r="AC316" s="34" t="s">
        <v>506</v>
      </c>
      <c r="AD316" s="34" t="s">
        <v>19</v>
      </c>
      <c r="AE316" s="34" t="s">
        <v>20</v>
      </c>
      <c r="AF316" s="34" t="s">
        <v>138</v>
      </c>
      <c r="AG316" s="11"/>
    </row>
    <row r="317" spans="1:33" s="12" customFormat="1" ht="21.95" hidden="1" customHeight="1">
      <c r="A317" s="16">
        <v>316</v>
      </c>
      <c r="B317" s="17">
        <v>12</v>
      </c>
      <c r="C317" s="17">
        <v>22969</v>
      </c>
      <c r="D317" s="17" t="s">
        <v>918</v>
      </c>
      <c r="E317" s="143"/>
      <c r="F317" s="21" t="s">
        <v>882</v>
      </c>
      <c r="G317" s="21" t="str">
        <f>VLOOKUP(P317,'CO F3'!$C$2:$M$108,7,FALSE)</f>
        <v>NISSAN MEXICANA SA DE CV</v>
      </c>
      <c r="H317" s="21" t="e">
        <f>VLOOKUP(Q317,'CO F3'!$C$2:$M$108,7,FALSE)</f>
        <v>#N/A</v>
      </c>
      <c r="I317" s="17" t="s">
        <v>697</v>
      </c>
      <c r="J317" s="18"/>
      <c r="K317" s="18"/>
      <c r="L317" s="18" t="s">
        <v>13</v>
      </c>
      <c r="M317" s="18"/>
      <c r="N317" s="18"/>
      <c r="O317" s="18"/>
      <c r="P317" s="17" t="s">
        <v>511</v>
      </c>
      <c r="Q317" s="17" t="s">
        <v>865</v>
      </c>
      <c r="R317" s="40" t="s">
        <v>850</v>
      </c>
      <c r="S317" s="40" t="s">
        <v>505</v>
      </c>
      <c r="T317" s="40" t="s">
        <v>509</v>
      </c>
      <c r="U317" s="19" t="s">
        <v>512</v>
      </c>
      <c r="V317" s="13" t="s">
        <v>24</v>
      </c>
      <c r="W317" s="19">
        <v>1</v>
      </c>
      <c r="X317" s="19" t="s">
        <v>25</v>
      </c>
      <c r="Y317" s="19" t="s">
        <v>316</v>
      </c>
      <c r="Z317" s="19">
        <v>2</v>
      </c>
      <c r="AA317" s="19">
        <v>0.32</v>
      </c>
      <c r="AB317" s="38" t="s">
        <v>30</v>
      </c>
      <c r="AC317" s="19" t="s">
        <v>506</v>
      </c>
      <c r="AD317" s="19" t="s">
        <v>19</v>
      </c>
      <c r="AE317" s="19" t="s">
        <v>20</v>
      </c>
      <c r="AF317" s="19" t="s">
        <v>138</v>
      </c>
      <c r="AG317" s="11"/>
    </row>
    <row r="318" spans="1:33" s="12" customFormat="1" ht="21.95" hidden="1" customHeight="1">
      <c r="A318" s="24">
        <v>317</v>
      </c>
      <c r="B318" s="25">
        <v>12</v>
      </c>
      <c r="C318" s="25">
        <v>22969</v>
      </c>
      <c r="D318" s="25" t="s">
        <v>918</v>
      </c>
      <c r="E318" s="144"/>
      <c r="F318" s="21" t="s">
        <v>917</v>
      </c>
      <c r="G318" s="21" t="e">
        <f>VLOOKUP(P318,'CO F3'!$C$2:$M$108,7,FALSE)</f>
        <v>#N/A</v>
      </c>
      <c r="H318" s="21" t="e">
        <f>VLOOKUP(Q318,'CO F3'!$C$2:$M$108,7,FALSE)</f>
        <v>#N/A</v>
      </c>
      <c r="I318" s="25" t="s">
        <v>697</v>
      </c>
      <c r="J318" s="26"/>
      <c r="K318" s="26"/>
      <c r="L318" s="26" t="s">
        <v>13</v>
      </c>
      <c r="M318" s="26"/>
      <c r="N318" s="26"/>
      <c r="O318" s="26"/>
      <c r="P318" s="25">
        <v>7703042100</v>
      </c>
      <c r="Q318" s="25" t="s">
        <v>849</v>
      </c>
      <c r="R318" s="41" t="s">
        <v>849</v>
      </c>
      <c r="S318" s="41" t="s">
        <v>505</v>
      </c>
      <c r="T318" s="41" t="s">
        <v>509</v>
      </c>
      <c r="U318" s="27" t="s">
        <v>28</v>
      </c>
      <c r="V318" s="15" t="s">
        <v>29</v>
      </c>
      <c r="W318" s="27">
        <v>3</v>
      </c>
      <c r="X318" s="27"/>
      <c r="Y318" s="27"/>
      <c r="Z318" s="27"/>
      <c r="AA318" s="27">
        <v>0.06</v>
      </c>
      <c r="AB318" s="38" t="s">
        <v>30</v>
      </c>
      <c r="AC318" s="27" t="s">
        <v>506</v>
      </c>
      <c r="AD318" s="27" t="s">
        <v>19</v>
      </c>
      <c r="AE318" s="27" t="s">
        <v>20</v>
      </c>
      <c r="AF318" s="27" t="s">
        <v>138</v>
      </c>
      <c r="AG318" s="11"/>
    </row>
    <row r="319" spans="1:33" s="12" customFormat="1" ht="21.95" hidden="1" customHeight="1">
      <c r="A319" s="31">
        <v>318</v>
      </c>
      <c r="B319" s="32">
        <v>12</v>
      </c>
      <c r="C319" s="32">
        <v>22969</v>
      </c>
      <c r="D319" s="32" t="s">
        <v>918</v>
      </c>
      <c r="E319" s="145"/>
      <c r="F319" s="21" t="s">
        <v>918</v>
      </c>
      <c r="G319" s="21" t="e">
        <f>VLOOKUP(P319,'CO F3'!$C$2:$M$108,7,FALSE)</f>
        <v>#N/A</v>
      </c>
      <c r="H319" s="21" t="e">
        <f>VLOOKUP(Q319,'CO F3'!$C$2:$M$108,7,FALSE)</f>
        <v>#N/A</v>
      </c>
      <c r="I319" s="32" t="s">
        <v>697</v>
      </c>
      <c r="J319" s="33"/>
      <c r="K319" s="33" t="s">
        <v>13</v>
      </c>
      <c r="L319" s="33"/>
      <c r="M319" s="33"/>
      <c r="N319" s="33"/>
      <c r="O319" s="33"/>
      <c r="P319" s="32" t="s">
        <v>513</v>
      </c>
      <c r="Q319" s="32" t="s">
        <v>849</v>
      </c>
      <c r="R319" s="42" t="s">
        <v>849</v>
      </c>
      <c r="S319" s="42" t="s">
        <v>505</v>
      </c>
      <c r="T319" s="42" t="s">
        <v>504</v>
      </c>
      <c r="U319" s="34" t="s">
        <v>510</v>
      </c>
      <c r="V319" s="35" t="s">
        <v>41</v>
      </c>
      <c r="W319" s="34">
        <v>1</v>
      </c>
      <c r="X319" s="34"/>
      <c r="Y319" s="34"/>
      <c r="Z319" s="34"/>
      <c r="AA319" s="34">
        <v>0</v>
      </c>
      <c r="AB319" s="37" t="s">
        <v>17</v>
      </c>
      <c r="AC319" s="34" t="s">
        <v>506</v>
      </c>
      <c r="AD319" s="34" t="s">
        <v>19</v>
      </c>
      <c r="AE319" s="34" t="s">
        <v>20</v>
      </c>
      <c r="AF319" s="34" t="s">
        <v>138</v>
      </c>
      <c r="AG319" s="11"/>
    </row>
    <row r="320" spans="1:33" s="12" customFormat="1" ht="21.95" hidden="1" customHeight="1">
      <c r="A320" s="16">
        <v>319</v>
      </c>
      <c r="B320" s="17">
        <v>12</v>
      </c>
      <c r="C320" s="17">
        <v>22969</v>
      </c>
      <c r="D320" s="17" t="s">
        <v>918</v>
      </c>
      <c r="E320" s="143"/>
      <c r="F320" s="21" t="s">
        <v>882</v>
      </c>
      <c r="G320" s="21" t="str">
        <f>VLOOKUP(P320,'CO F3'!$C$2:$M$108,7,FALSE)</f>
        <v>NISSAN MEXICANA SA DE CV</v>
      </c>
      <c r="H320" s="21" t="e">
        <f>VLOOKUP(Q320,'CO F3'!$C$2:$M$108,7,FALSE)</f>
        <v>#N/A</v>
      </c>
      <c r="I320" s="17" t="s">
        <v>697</v>
      </c>
      <c r="J320" s="18"/>
      <c r="K320" s="18"/>
      <c r="L320" s="18" t="s">
        <v>13</v>
      </c>
      <c r="M320" s="18"/>
      <c r="N320" s="18"/>
      <c r="O320" s="18"/>
      <c r="P320" s="17" t="s">
        <v>514</v>
      </c>
      <c r="Q320" s="17" t="s">
        <v>865</v>
      </c>
      <c r="R320" s="40" t="s">
        <v>850</v>
      </c>
      <c r="S320" s="40" t="s">
        <v>505</v>
      </c>
      <c r="T320" s="40" t="s">
        <v>509</v>
      </c>
      <c r="U320" s="19" t="s">
        <v>512</v>
      </c>
      <c r="V320" s="13" t="s">
        <v>24</v>
      </c>
      <c r="W320" s="19">
        <v>1</v>
      </c>
      <c r="X320" s="19" t="s">
        <v>25</v>
      </c>
      <c r="Y320" s="19" t="s">
        <v>316</v>
      </c>
      <c r="Z320" s="19">
        <v>2</v>
      </c>
      <c r="AA320" s="19">
        <v>0.34</v>
      </c>
      <c r="AB320" s="38" t="s">
        <v>30</v>
      </c>
      <c r="AC320" s="19" t="s">
        <v>506</v>
      </c>
      <c r="AD320" s="19" t="s">
        <v>19</v>
      </c>
      <c r="AE320" s="19" t="s">
        <v>20</v>
      </c>
      <c r="AF320" s="19" t="s">
        <v>138</v>
      </c>
      <c r="AG320" s="11"/>
    </row>
    <row r="321" spans="1:33" s="12" customFormat="1" ht="21.95" hidden="1" customHeight="1">
      <c r="A321" s="24">
        <v>320</v>
      </c>
      <c r="B321" s="25">
        <v>12</v>
      </c>
      <c r="C321" s="25">
        <v>22969</v>
      </c>
      <c r="D321" s="25" t="s">
        <v>918</v>
      </c>
      <c r="E321" s="144"/>
      <c r="F321" s="21" t="s">
        <v>917</v>
      </c>
      <c r="G321" s="21" t="e">
        <f>VLOOKUP(P321,'CO F3'!$C$2:$M$108,7,FALSE)</f>
        <v>#N/A</v>
      </c>
      <c r="H321" s="21" t="e">
        <f>VLOOKUP(Q321,'CO F3'!$C$2:$M$108,7,FALSE)</f>
        <v>#N/A</v>
      </c>
      <c r="I321" s="25" t="s">
        <v>697</v>
      </c>
      <c r="J321" s="26"/>
      <c r="K321" s="26"/>
      <c r="L321" s="26" t="s">
        <v>13</v>
      </c>
      <c r="M321" s="26"/>
      <c r="N321" s="26"/>
      <c r="O321" s="26"/>
      <c r="P321" s="25">
        <v>7703042100</v>
      </c>
      <c r="Q321" s="25" t="s">
        <v>849</v>
      </c>
      <c r="R321" s="41" t="s">
        <v>849</v>
      </c>
      <c r="S321" s="41" t="s">
        <v>505</v>
      </c>
      <c r="T321" s="41" t="s">
        <v>509</v>
      </c>
      <c r="U321" s="27" t="s">
        <v>28</v>
      </c>
      <c r="V321" s="15" t="s">
        <v>29</v>
      </c>
      <c r="W321" s="27">
        <v>3</v>
      </c>
      <c r="X321" s="27"/>
      <c r="Y321" s="27"/>
      <c r="Z321" s="27"/>
      <c r="AA321" s="27">
        <v>0.06</v>
      </c>
      <c r="AB321" s="38" t="s">
        <v>30</v>
      </c>
      <c r="AC321" s="27" t="s">
        <v>506</v>
      </c>
      <c r="AD321" s="27" t="s">
        <v>19</v>
      </c>
      <c r="AE321" s="27" t="s">
        <v>20</v>
      </c>
      <c r="AF321" s="27" t="s">
        <v>138</v>
      </c>
      <c r="AG321" s="11"/>
    </row>
    <row r="322" spans="1:33" s="12" customFormat="1" ht="21.95" hidden="1" customHeight="1">
      <c r="A322" s="31">
        <v>321</v>
      </c>
      <c r="B322" s="32">
        <v>12</v>
      </c>
      <c r="C322" s="32">
        <v>22969</v>
      </c>
      <c r="D322" s="32" t="s">
        <v>918</v>
      </c>
      <c r="E322" s="145"/>
      <c r="F322" s="21" t="s">
        <v>918</v>
      </c>
      <c r="G322" s="21" t="e">
        <f>VLOOKUP(P322,'CO F3'!$C$2:$M$108,7,FALSE)</f>
        <v>#N/A</v>
      </c>
      <c r="H322" s="21" t="e">
        <f>VLOOKUP(Q322,'CO F3'!$C$2:$M$108,7,FALSE)</f>
        <v>#N/A</v>
      </c>
      <c r="I322" s="32" t="s">
        <v>697</v>
      </c>
      <c r="J322" s="33"/>
      <c r="K322" s="33" t="s">
        <v>13</v>
      </c>
      <c r="L322" s="33"/>
      <c r="M322" s="33"/>
      <c r="N322" s="33"/>
      <c r="O322" s="33"/>
      <c r="P322" s="32" t="s">
        <v>515</v>
      </c>
      <c r="Q322" s="32" t="s">
        <v>849</v>
      </c>
      <c r="R322" s="42" t="s">
        <v>849</v>
      </c>
      <c r="S322" s="42" t="s">
        <v>505</v>
      </c>
      <c r="T322" s="42" t="s">
        <v>504</v>
      </c>
      <c r="U322" s="34" t="s">
        <v>516</v>
      </c>
      <c r="V322" s="35" t="s">
        <v>41</v>
      </c>
      <c r="W322" s="34">
        <v>1</v>
      </c>
      <c r="X322" s="34"/>
      <c r="Y322" s="34"/>
      <c r="Z322" s="34"/>
      <c r="AA322" s="34">
        <v>0</v>
      </c>
      <c r="AB322" s="37" t="s">
        <v>17</v>
      </c>
      <c r="AC322" s="34" t="s">
        <v>506</v>
      </c>
      <c r="AD322" s="34" t="s">
        <v>19</v>
      </c>
      <c r="AE322" s="34" t="s">
        <v>20</v>
      </c>
      <c r="AF322" s="34" t="s">
        <v>138</v>
      </c>
      <c r="AG322" s="11"/>
    </row>
    <row r="323" spans="1:33" s="12" customFormat="1" ht="21.95" hidden="1" customHeight="1">
      <c r="A323" s="16">
        <v>322</v>
      </c>
      <c r="B323" s="17">
        <v>12</v>
      </c>
      <c r="C323" s="17">
        <v>22969</v>
      </c>
      <c r="D323" s="17" t="s">
        <v>918</v>
      </c>
      <c r="E323" s="143"/>
      <c r="F323" s="21" t="s">
        <v>882</v>
      </c>
      <c r="G323" s="21" t="str">
        <f>VLOOKUP(P323,'CO F3'!$C$2:$M$108,7,FALSE)</f>
        <v>NISSAN MEXICANA SA DE CV</v>
      </c>
      <c r="H323" s="21" t="e">
        <f>VLOOKUP(Q323,'CO F3'!$C$2:$M$108,7,FALSE)</f>
        <v>#N/A</v>
      </c>
      <c r="I323" s="17" t="s">
        <v>697</v>
      </c>
      <c r="J323" s="18"/>
      <c r="K323" s="18"/>
      <c r="L323" s="18" t="s">
        <v>13</v>
      </c>
      <c r="M323" s="18"/>
      <c r="N323" s="18"/>
      <c r="O323" s="18"/>
      <c r="P323" s="17" t="s">
        <v>517</v>
      </c>
      <c r="Q323" s="17" t="s">
        <v>866</v>
      </c>
      <c r="R323" s="40" t="s">
        <v>852</v>
      </c>
      <c r="S323" s="40" t="s">
        <v>505</v>
      </c>
      <c r="T323" s="40" t="s">
        <v>515</v>
      </c>
      <c r="U323" s="19" t="s">
        <v>518</v>
      </c>
      <c r="V323" s="13" t="s">
        <v>24</v>
      </c>
      <c r="W323" s="19">
        <v>1</v>
      </c>
      <c r="X323" s="19" t="s">
        <v>25</v>
      </c>
      <c r="Y323" s="19" t="s">
        <v>316</v>
      </c>
      <c r="Z323" s="19">
        <v>1.2</v>
      </c>
      <c r="AA323" s="19">
        <v>0.46</v>
      </c>
      <c r="AB323" s="38" t="s">
        <v>30</v>
      </c>
      <c r="AC323" s="19" t="s">
        <v>506</v>
      </c>
      <c r="AD323" s="19" t="s">
        <v>19</v>
      </c>
      <c r="AE323" s="19" t="s">
        <v>20</v>
      </c>
      <c r="AF323" s="19" t="s">
        <v>138</v>
      </c>
      <c r="AG323" s="11"/>
    </row>
    <row r="324" spans="1:33" s="12" customFormat="1" ht="21.95" hidden="1" customHeight="1">
      <c r="A324" s="24">
        <v>323</v>
      </c>
      <c r="B324" s="25">
        <v>12</v>
      </c>
      <c r="C324" s="25">
        <v>22969</v>
      </c>
      <c r="D324" s="25" t="s">
        <v>918</v>
      </c>
      <c r="E324" s="144"/>
      <c r="F324" s="21" t="s">
        <v>917</v>
      </c>
      <c r="G324" s="21" t="e">
        <f>VLOOKUP(P324,'CO F3'!$C$2:$M$108,7,FALSE)</f>
        <v>#N/A</v>
      </c>
      <c r="H324" s="21" t="e">
        <f>VLOOKUP(Q324,'CO F3'!$C$2:$M$108,7,FALSE)</f>
        <v>#N/A</v>
      </c>
      <c r="I324" s="25" t="s">
        <v>697</v>
      </c>
      <c r="J324" s="26"/>
      <c r="K324" s="26"/>
      <c r="L324" s="26" t="s">
        <v>13</v>
      </c>
      <c r="M324" s="26"/>
      <c r="N324" s="26"/>
      <c r="O324" s="26"/>
      <c r="P324" s="25">
        <v>7703042065</v>
      </c>
      <c r="Q324" s="25" t="s">
        <v>849</v>
      </c>
      <c r="R324" s="41" t="s">
        <v>849</v>
      </c>
      <c r="S324" s="41" t="s">
        <v>505</v>
      </c>
      <c r="T324" s="41" t="s">
        <v>515</v>
      </c>
      <c r="U324" s="27" t="s">
        <v>310</v>
      </c>
      <c r="V324" s="15" t="s">
        <v>29</v>
      </c>
      <c r="W324" s="27">
        <v>2</v>
      </c>
      <c r="X324" s="27"/>
      <c r="Y324" s="27"/>
      <c r="Z324" s="27"/>
      <c r="AA324" s="27">
        <v>0.02</v>
      </c>
      <c r="AB324" s="38" t="s">
        <v>30</v>
      </c>
      <c r="AC324" s="27" t="s">
        <v>506</v>
      </c>
      <c r="AD324" s="27" t="s">
        <v>19</v>
      </c>
      <c r="AE324" s="27" t="s">
        <v>20</v>
      </c>
      <c r="AF324" s="27" t="s">
        <v>138</v>
      </c>
      <c r="AG324" s="11"/>
    </row>
    <row r="325" spans="1:33" s="12" customFormat="1" ht="21.95" hidden="1" customHeight="1">
      <c r="A325" s="16">
        <v>324</v>
      </c>
      <c r="B325" s="17">
        <v>12</v>
      </c>
      <c r="C325" s="17">
        <v>22969</v>
      </c>
      <c r="D325" s="17" t="s">
        <v>918</v>
      </c>
      <c r="E325" s="143"/>
      <c r="F325" s="21" t="s">
        <v>876</v>
      </c>
      <c r="G325" s="21" t="str">
        <f>VLOOKUP(P325,'CO F3'!$C$2:$M$108,7,FALSE)</f>
        <v>METALURGICA PASCHOAL LTDA.</v>
      </c>
      <c r="H325" s="21" t="e">
        <f>VLOOKUP(Q325,'CO F3'!$C$2:$M$108,7,FALSE)</f>
        <v>#N/A</v>
      </c>
      <c r="I325" s="17" t="s">
        <v>697</v>
      </c>
      <c r="J325" s="18"/>
      <c r="K325" s="18" t="s">
        <v>13</v>
      </c>
      <c r="L325" s="18"/>
      <c r="M325" s="18"/>
      <c r="N325" s="18"/>
      <c r="O325" s="18"/>
      <c r="P325" s="17" t="s">
        <v>519</v>
      </c>
      <c r="Q325" s="17" t="s">
        <v>866</v>
      </c>
      <c r="R325" s="40" t="s">
        <v>851</v>
      </c>
      <c r="S325" s="40" t="s">
        <v>505</v>
      </c>
      <c r="T325" s="40" t="s">
        <v>504</v>
      </c>
      <c r="U325" s="19" t="s">
        <v>520</v>
      </c>
      <c r="V325" s="13" t="s">
        <v>24</v>
      </c>
      <c r="W325" s="19">
        <v>3</v>
      </c>
      <c r="X325" s="19" t="s">
        <v>25</v>
      </c>
      <c r="Y325" s="19" t="s">
        <v>316</v>
      </c>
      <c r="Z325" s="19">
        <v>1.5</v>
      </c>
      <c r="AA325" s="19">
        <v>0.66</v>
      </c>
      <c r="AB325" s="38" t="s">
        <v>30</v>
      </c>
      <c r="AC325" s="19" t="s">
        <v>506</v>
      </c>
      <c r="AD325" s="19" t="s">
        <v>19</v>
      </c>
      <c r="AE325" s="19" t="s">
        <v>20</v>
      </c>
      <c r="AF325" s="19" t="s">
        <v>138</v>
      </c>
      <c r="AG325" s="11"/>
    </row>
    <row r="326" spans="1:33" s="12" customFormat="1" ht="21.95" hidden="1" customHeight="1">
      <c r="A326" s="16">
        <v>325</v>
      </c>
      <c r="B326" s="17">
        <v>12</v>
      </c>
      <c r="C326" s="17">
        <v>22969</v>
      </c>
      <c r="D326" s="17" t="s">
        <v>918</v>
      </c>
      <c r="E326" s="143"/>
      <c r="F326" s="21" t="s">
        <v>918</v>
      </c>
      <c r="G326" s="21" t="e">
        <f>VLOOKUP(P326,'CO F3'!$C$2:$M$108,7,FALSE)</f>
        <v>#N/A</v>
      </c>
      <c r="H326" s="21" t="e">
        <f>VLOOKUP(Q326,'CO F3'!$C$2:$M$108,7,FALSE)</f>
        <v>#N/A</v>
      </c>
      <c r="I326" s="17" t="s">
        <v>697</v>
      </c>
      <c r="J326" s="18"/>
      <c r="K326" s="18" t="s">
        <v>13</v>
      </c>
      <c r="L326" s="18"/>
      <c r="M326" s="18"/>
      <c r="N326" s="18"/>
      <c r="O326" s="18"/>
      <c r="P326" s="17" t="s">
        <v>521</v>
      </c>
      <c r="Q326" s="17" t="s">
        <v>849</v>
      </c>
      <c r="R326" s="40" t="s">
        <v>849</v>
      </c>
      <c r="S326" s="40" t="s">
        <v>505</v>
      </c>
      <c r="T326" s="40" t="s">
        <v>504</v>
      </c>
      <c r="U326" s="19" t="s">
        <v>522</v>
      </c>
      <c r="V326" s="13" t="s">
        <v>24</v>
      </c>
      <c r="W326" s="19">
        <v>1</v>
      </c>
      <c r="X326" s="19" t="s">
        <v>809</v>
      </c>
      <c r="Y326" s="19" t="s">
        <v>194</v>
      </c>
      <c r="Z326" s="19">
        <v>1.8</v>
      </c>
      <c r="AA326" s="19">
        <v>1.26</v>
      </c>
      <c r="AB326" s="37" t="s">
        <v>17</v>
      </c>
      <c r="AC326" s="19" t="s">
        <v>506</v>
      </c>
      <c r="AD326" s="19" t="s">
        <v>19</v>
      </c>
      <c r="AE326" s="19" t="s">
        <v>20</v>
      </c>
      <c r="AF326" s="19" t="s">
        <v>138</v>
      </c>
      <c r="AG326" s="11"/>
    </row>
    <row r="327" spans="1:33" s="12" customFormat="1" ht="21.95" hidden="1" customHeight="1">
      <c r="A327" s="31">
        <v>326</v>
      </c>
      <c r="B327" s="32">
        <v>12</v>
      </c>
      <c r="C327" s="32">
        <v>22969</v>
      </c>
      <c r="D327" s="32" t="s">
        <v>918</v>
      </c>
      <c r="E327" s="145"/>
      <c r="F327" s="21" t="s">
        <v>918</v>
      </c>
      <c r="G327" s="21" t="e">
        <f>VLOOKUP(P327,'CO F3'!$C$2:$M$108,7,FALSE)</f>
        <v>#N/A</v>
      </c>
      <c r="H327" s="21" t="e">
        <f>VLOOKUP(Q327,'CO F3'!$C$2:$M$108,7,FALSE)</f>
        <v>#N/A</v>
      </c>
      <c r="I327" s="32" t="s">
        <v>697</v>
      </c>
      <c r="J327" s="33"/>
      <c r="K327" s="33" t="s">
        <v>13</v>
      </c>
      <c r="L327" s="33"/>
      <c r="M327" s="33"/>
      <c r="N327" s="33"/>
      <c r="O327" s="33"/>
      <c r="P327" s="32" t="s">
        <v>523</v>
      </c>
      <c r="Q327" s="32" t="s">
        <v>849</v>
      </c>
      <c r="R327" s="42" t="s">
        <v>849</v>
      </c>
      <c r="S327" s="42" t="s">
        <v>505</v>
      </c>
      <c r="T327" s="42" t="s">
        <v>504</v>
      </c>
      <c r="U327" s="34" t="s">
        <v>524</v>
      </c>
      <c r="V327" s="35" t="s">
        <v>41</v>
      </c>
      <c r="W327" s="34">
        <v>1</v>
      </c>
      <c r="X327" s="34"/>
      <c r="Y327" s="34"/>
      <c r="Z327" s="34"/>
      <c r="AA327" s="34">
        <v>0</v>
      </c>
      <c r="AB327" s="37" t="s">
        <v>17</v>
      </c>
      <c r="AC327" s="34" t="s">
        <v>506</v>
      </c>
      <c r="AD327" s="34" t="s">
        <v>19</v>
      </c>
      <c r="AE327" s="34" t="s">
        <v>20</v>
      </c>
      <c r="AF327" s="34" t="s">
        <v>138</v>
      </c>
      <c r="AG327" s="11"/>
    </row>
    <row r="328" spans="1:33" s="12" customFormat="1" ht="21.95" hidden="1" customHeight="1">
      <c r="A328" s="16">
        <v>327</v>
      </c>
      <c r="B328" s="17">
        <v>12</v>
      </c>
      <c r="C328" s="17">
        <v>22969</v>
      </c>
      <c r="D328" s="17" t="s">
        <v>918</v>
      </c>
      <c r="E328" s="143"/>
      <c r="F328" s="21" t="s">
        <v>911</v>
      </c>
      <c r="G328" s="21" t="str">
        <f>VLOOKUP(P328,'CO F3'!$C$2:$M$108,7,FALSE)</f>
        <v>BENTELER COMPONENTES AUTOM</v>
      </c>
      <c r="H328" s="21" t="e">
        <f>VLOOKUP(Q328,'CO F3'!$C$2:$M$108,7,FALSE)</f>
        <v>#N/A</v>
      </c>
      <c r="I328" s="17" t="s">
        <v>697</v>
      </c>
      <c r="J328" s="18"/>
      <c r="K328" s="18"/>
      <c r="L328" s="18" t="s">
        <v>13</v>
      </c>
      <c r="M328" s="18"/>
      <c r="N328" s="18"/>
      <c r="O328" s="18"/>
      <c r="P328" s="17" t="s">
        <v>525</v>
      </c>
      <c r="Q328" s="17" t="s">
        <v>867</v>
      </c>
      <c r="R328" s="40" t="s">
        <v>851</v>
      </c>
      <c r="S328" s="40" t="s">
        <v>505</v>
      </c>
      <c r="T328" s="40" t="s">
        <v>523</v>
      </c>
      <c r="U328" s="19" t="s">
        <v>526</v>
      </c>
      <c r="V328" s="13" t="s">
        <v>24</v>
      </c>
      <c r="W328" s="19">
        <v>1</v>
      </c>
      <c r="X328" s="19" t="s">
        <v>25</v>
      </c>
      <c r="Y328" s="19" t="s">
        <v>316</v>
      </c>
      <c r="Z328" s="19">
        <v>1.8</v>
      </c>
      <c r="AA328" s="19">
        <v>1.65</v>
      </c>
      <c r="AB328" s="38" t="s">
        <v>30</v>
      </c>
      <c r="AC328" s="19" t="s">
        <v>506</v>
      </c>
      <c r="AD328" s="19" t="s">
        <v>19</v>
      </c>
      <c r="AE328" s="19" t="s">
        <v>20</v>
      </c>
      <c r="AF328" s="19" t="s">
        <v>138</v>
      </c>
      <c r="AG328" s="11"/>
    </row>
    <row r="329" spans="1:33" s="12" customFormat="1" ht="21.95" hidden="1" customHeight="1">
      <c r="A329" s="24">
        <v>328</v>
      </c>
      <c r="B329" s="25">
        <v>12</v>
      </c>
      <c r="C329" s="25">
        <v>22969</v>
      </c>
      <c r="D329" s="25" t="s">
        <v>918</v>
      </c>
      <c r="E329" s="144"/>
      <c r="F329" s="21" t="s">
        <v>917</v>
      </c>
      <c r="G329" s="21" t="e">
        <f>VLOOKUP(P329,'CO F3'!$C$2:$M$108,7,FALSE)</f>
        <v>#N/A</v>
      </c>
      <c r="H329" s="21" t="e">
        <f>VLOOKUP(Q329,'CO F3'!$C$2:$M$108,7,FALSE)</f>
        <v>#N/A</v>
      </c>
      <c r="I329" s="25" t="s">
        <v>697</v>
      </c>
      <c r="J329" s="26"/>
      <c r="K329" s="26"/>
      <c r="L329" s="26" t="s">
        <v>13</v>
      </c>
      <c r="M329" s="26"/>
      <c r="N329" s="26"/>
      <c r="O329" s="26"/>
      <c r="P329" s="25">
        <v>7703043114</v>
      </c>
      <c r="Q329" s="25" t="s">
        <v>849</v>
      </c>
      <c r="R329" s="41" t="s">
        <v>849</v>
      </c>
      <c r="S329" s="41" t="s">
        <v>505</v>
      </c>
      <c r="T329" s="41" t="s">
        <v>523</v>
      </c>
      <c r="U329" s="27" t="s">
        <v>527</v>
      </c>
      <c r="V329" s="15" t="s">
        <v>29</v>
      </c>
      <c r="W329" s="27">
        <v>3</v>
      </c>
      <c r="X329" s="27"/>
      <c r="Y329" s="27"/>
      <c r="Z329" s="27"/>
      <c r="AA329" s="27">
        <v>1.2E-2</v>
      </c>
      <c r="AB329" s="38" t="s">
        <v>30</v>
      </c>
      <c r="AC329" s="27" t="s">
        <v>506</v>
      </c>
      <c r="AD329" s="27" t="s">
        <v>19</v>
      </c>
      <c r="AE329" s="27" t="s">
        <v>20</v>
      </c>
      <c r="AF329" s="27" t="s">
        <v>138</v>
      </c>
      <c r="AG329" s="11"/>
    </row>
    <row r="330" spans="1:33" s="12" customFormat="1" ht="21.95" hidden="1" customHeight="1">
      <c r="A330" s="20">
        <v>329</v>
      </c>
      <c r="B330" s="21">
        <v>12</v>
      </c>
      <c r="C330" s="21">
        <v>26303</v>
      </c>
      <c r="D330" s="21" t="s">
        <v>918</v>
      </c>
      <c r="E330" s="142"/>
      <c r="F330" s="21" t="s">
        <v>918</v>
      </c>
      <c r="G330" s="21" t="s">
        <v>918</v>
      </c>
      <c r="H330" s="21" t="s">
        <v>918</v>
      </c>
      <c r="I330" s="21" t="s">
        <v>697</v>
      </c>
      <c r="J330" s="22" t="s">
        <v>13</v>
      </c>
      <c r="K330" s="22"/>
      <c r="L330" s="22"/>
      <c r="M330" s="22"/>
      <c r="N330" s="22"/>
      <c r="O330" s="22"/>
      <c r="P330" s="21" t="s">
        <v>528</v>
      </c>
      <c r="Q330" s="77" t="s">
        <v>861</v>
      </c>
      <c r="R330" s="209" t="s">
        <v>850</v>
      </c>
      <c r="S330" s="39" t="s">
        <v>529</v>
      </c>
      <c r="T330" s="39"/>
      <c r="U330" s="23" t="s">
        <v>529</v>
      </c>
      <c r="V330" s="14" t="s">
        <v>16</v>
      </c>
      <c r="W330" s="23">
        <v>1</v>
      </c>
      <c r="X330" s="23"/>
      <c r="Y330" s="23" t="s">
        <v>816</v>
      </c>
      <c r="Z330" s="23"/>
      <c r="AA330" s="23">
        <v>4.8529999999999989</v>
      </c>
      <c r="AB330" s="37" t="s">
        <v>17</v>
      </c>
      <c r="AC330" s="23" t="s">
        <v>530</v>
      </c>
      <c r="AD330" s="23" t="s">
        <v>19</v>
      </c>
      <c r="AE330" s="23" t="s">
        <v>20</v>
      </c>
      <c r="AF330" s="23" t="s">
        <v>56</v>
      </c>
      <c r="AG330" s="11"/>
    </row>
    <row r="331" spans="1:33" s="12" customFormat="1" ht="21.95" hidden="1" customHeight="1">
      <c r="A331" s="16">
        <v>330</v>
      </c>
      <c r="B331" s="17">
        <v>12</v>
      </c>
      <c r="C331" s="17">
        <v>26303</v>
      </c>
      <c r="D331" s="17" t="s">
        <v>918</v>
      </c>
      <c r="E331" s="143"/>
      <c r="F331" s="21" t="s">
        <v>879</v>
      </c>
      <c r="G331" s="21" t="str">
        <f>VLOOKUP(P331,'CO F3'!$C$2:$M$108,7,FALSE)</f>
        <v xml:space="preserve">TOWER AUTOMOTIVE </v>
      </c>
      <c r="H331" s="21" t="e">
        <f>VLOOKUP(Q331,'CO F3'!$C$2:$M$108,7,FALSE)</f>
        <v>#N/A</v>
      </c>
      <c r="I331" s="17" t="s">
        <v>697</v>
      </c>
      <c r="J331" s="18"/>
      <c r="K331" s="18" t="s">
        <v>13</v>
      </c>
      <c r="L331" s="18"/>
      <c r="M331" s="18"/>
      <c r="N331" s="18"/>
      <c r="O331" s="18"/>
      <c r="P331" s="17" t="s">
        <v>531</v>
      </c>
      <c r="Q331" s="17" t="s">
        <v>866</v>
      </c>
      <c r="R331" s="40" t="s">
        <v>847</v>
      </c>
      <c r="S331" s="40" t="s">
        <v>529</v>
      </c>
      <c r="T331" s="40" t="s">
        <v>528</v>
      </c>
      <c r="U331" s="19" t="s">
        <v>532</v>
      </c>
      <c r="V331" s="13" t="s">
        <v>24</v>
      </c>
      <c r="W331" s="19">
        <v>1</v>
      </c>
      <c r="X331" s="19" t="s">
        <v>446</v>
      </c>
      <c r="Y331" s="19" t="s">
        <v>61</v>
      </c>
      <c r="Z331" s="19">
        <v>1.45</v>
      </c>
      <c r="AA331" s="19">
        <v>2.819</v>
      </c>
      <c r="AB331" s="38" t="s">
        <v>30</v>
      </c>
      <c r="AC331" s="19" t="s">
        <v>530</v>
      </c>
      <c r="AD331" s="19" t="s">
        <v>19</v>
      </c>
      <c r="AE331" s="19" t="s">
        <v>20</v>
      </c>
      <c r="AF331" s="19" t="s">
        <v>56</v>
      </c>
      <c r="AG331" s="11"/>
    </row>
    <row r="332" spans="1:33" s="12" customFormat="1" ht="21.95" hidden="1" customHeight="1">
      <c r="A332" s="16">
        <v>331</v>
      </c>
      <c r="B332" s="17">
        <v>12</v>
      </c>
      <c r="C332" s="17">
        <v>26303</v>
      </c>
      <c r="D332" s="17" t="s">
        <v>918</v>
      </c>
      <c r="E332" s="143"/>
      <c r="F332" s="21" t="s">
        <v>895</v>
      </c>
      <c r="G332" s="21" t="str">
        <f>VLOOKUP(P332,'CO F3'!$C$2:$M$108,7,FALSE)</f>
        <v xml:space="preserve">GESTAMP </v>
      </c>
      <c r="H332" s="21" t="e">
        <f>VLOOKUP(Q332,'CO F3'!$C$2:$M$108,7,FALSE)</f>
        <v>#N/A</v>
      </c>
      <c r="I332" s="17" t="s">
        <v>697</v>
      </c>
      <c r="J332" s="18"/>
      <c r="K332" s="18" t="s">
        <v>13</v>
      </c>
      <c r="L332" s="18"/>
      <c r="M332" s="18"/>
      <c r="N332" s="18"/>
      <c r="O332" s="18"/>
      <c r="P332" s="17" t="s">
        <v>533</v>
      </c>
      <c r="Q332" s="17" t="s">
        <v>861</v>
      </c>
      <c r="R332" s="40" t="s">
        <v>847</v>
      </c>
      <c r="S332" s="40" t="s">
        <v>529</v>
      </c>
      <c r="T332" s="40" t="s">
        <v>528</v>
      </c>
      <c r="U332" s="19" t="s">
        <v>534</v>
      </c>
      <c r="V332" s="13" t="s">
        <v>24</v>
      </c>
      <c r="W332" s="19">
        <v>1</v>
      </c>
      <c r="X332" s="19" t="s">
        <v>141</v>
      </c>
      <c r="Y332" s="19" t="s">
        <v>134</v>
      </c>
      <c r="Z332" s="19">
        <v>1.45</v>
      </c>
      <c r="AA332" s="19">
        <v>0.1</v>
      </c>
      <c r="AB332" s="38" t="s">
        <v>30</v>
      </c>
      <c r="AC332" s="19" t="s">
        <v>530</v>
      </c>
      <c r="AD332" s="19" t="s">
        <v>19</v>
      </c>
      <c r="AE332" s="19" t="s">
        <v>20</v>
      </c>
      <c r="AF332" s="19" t="s">
        <v>56</v>
      </c>
      <c r="AG332" s="11"/>
    </row>
    <row r="333" spans="1:33" s="12" customFormat="1" ht="21.95" hidden="1" customHeight="1">
      <c r="A333" s="16">
        <v>332</v>
      </c>
      <c r="B333" s="17">
        <v>12</v>
      </c>
      <c r="C333" s="17">
        <v>26303</v>
      </c>
      <c r="D333" s="17" t="s">
        <v>918</v>
      </c>
      <c r="E333" s="143"/>
      <c r="F333" s="21" t="s">
        <v>918</v>
      </c>
      <c r="G333" s="21" t="e">
        <f>VLOOKUP(P333,'CO F3'!$C$2:$M$108,7,FALSE)</f>
        <v>#N/A</v>
      </c>
      <c r="H333" s="21" t="e">
        <f>VLOOKUP(Q333,'CO F3'!$C$2:$M$108,7,FALSE)</f>
        <v>#N/A</v>
      </c>
      <c r="I333" s="17" t="s">
        <v>697</v>
      </c>
      <c r="J333" s="18"/>
      <c r="K333" s="18" t="s">
        <v>13</v>
      </c>
      <c r="L333" s="18"/>
      <c r="M333" s="18"/>
      <c r="N333" s="18"/>
      <c r="O333" s="18"/>
      <c r="P333" s="17" t="s">
        <v>535</v>
      </c>
      <c r="Q333" s="17" t="s">
        <v>861</v>
      </c>
      <c r="R333" s="40" t="s">
        <v>852</v>
      </c>
      <c r="S333" s="40" t="s">
        <v>529</v>
      </c>
      <c r="T333" s="40" t="s">
        <v>528</v>
      </c>
      <c r="U333" s="19" t="s">
        <v>536</v>
      </c>
      <c r="V333" s="13" t="s">
        <v>24</v>
      </c>
      <c r="W333" s="19">
        <v>1</v>
      </c>
      <c r="X333" s="19" t="s">
        <v>170</v>
      </c>
      <c r="Y333" s="19" t="s">
        <v>272</v>
      </c>
      <c r="Z333" s="19">
        <v>1.45</v>
      </c>
      <c r="AA333" s="19">
        <v>1.9019999999999999</v>
      </c>
      <c r="AB333" s="44" t="s">
        <v>27</v>
      </c>
      <c r="AC333" s="19" t="s">
        <v>530</v>
      </c>
      <c r="AD333" s="19" t="s">
        <v>19</v>
      </c>
      <c r="AE333" s="19" t="s">
        <v>20</v>
      </c>
      <c r="AF333" s="19" t="s">
        <v>56</v>
      </c>
      <c r="AG333" s="11"/>
    </row>
    <row r="334" spans="1:33" s="12" customFormat="1" ht="21.95" hidden="1" customHeight="1">
      <c r="A334" s="24">
        <v>333</v>
      </c>
      <c r="B334" s="25">
        <v>12</v>
      </c>
      <c r="C334" s="25">
        <v>26303</v>
      </c>
      <c r="D334" s="25" t="s">
        <v>918</v>
      </c>
      <c r="E334" s="144"/>
      <c r="F334" s="21" t="s">
        <v>917</v>
      </c>
      <c r="G334" s="21" t="e">
        <f>VLOOKUP(P334,'CO F3'!$C$2:$M$108,7,FALSE)</f>
        <v>#N/A</v>
      </c>
      <c r="H334" s="21" t="e">
        <f>VLOOKUP(Q334,'CO F3'!$C$2:$M$108,7,FALSE)</f>
        <v>#N/A</v>
      </c>
      <c r="I334" s="25" t="s">
        <v>697</v>
      </c>
      <c r="J334" s="26"/>
      <c r="K334" s="26" t="s">
        <v>13</v>
      </c>
      <c r="L334" s="26"/>
      <c r="M334" s="26"/>
      <c r="N334" s="26"/>
      <c r="O334" s="26"/>
      <c r="P334" s="25">
        <v>7703072426</v>
      </c>
      <c r="Q334" s="25" t="s">
        <v>849</v>
      </c>
      <c r="R334" s="41" t="s">
        <v>849</v>
      </c>
      <c r="S334" s="41" t="s">
        <v>529</v>
      </c>
      <c r="T334" s="41" t="s">
        <v>528</v>
      </c>
      <c r="U334" s="27" t="s">
        <v>411</v>
      </c>
      <c r="V334" s="15" t="s">
        <v>29</v>
      </c>
      <c r="W334" s="27">
        <v>2</v>
      </c>
      <c r="X334" s="27"/>
      <c r="Y334" s="27"/>
      <c r="Z334" s="27"/>
      <c r="AA334" s="27">
        <v>1.2E-2</v>
      </c>
      <c r="AB334" s="38" t="s">
        <v>30</v>
      </c>
      <c r="AC334" s="27" t="s">
        <v>530</v>
      </c>
      <c r="AD334" s="27" t="s">
        <v>19</v>
      </c>
      <c r="AE334" s="27" t="s">
        <v>20</v>
      </c>
      <c r="AF334" s="27" t="s">
        <v>56</v>
      </c>
      <c r="AG334" s="11"/>
    </row>
    <row r="335" spans="1:33" s="12" customFormat="1" ht="21.95" hidden="1" customHeight="1">
      <c r="A335" s="24">
        <v>334</v>
      </c>
      <c r="B335" s="25">
        <v>12</v>
      </c>
      <c r="C335" s="25">
        <v>26303</v>
      </c>
      <c r="D335" s="25" t="s">
        <v>918</v>
      </c>
      <c r="E335" s="144"/>
      <c r="F335" s="21" t="s">
        <v>917</v>
      </c>
      <c r="G335" s="21" t="e">
        <f>VLOOKUP(P335,'CO F3'!$C$2:$M$108,7,FALSE)</f>
        <v>#N/A</v>
      </c>
      <c r="H335" s="21" t="e">
        <f>VLOOKUP(Q335,'CO F3'!$C$2:$M$108,7,FALSE)</f>
        <v>#N/A</v>
      </c>
      <c r="I335" s="25" t="s">
        <v>697</v>
      </c>
      <c r="J335" s="26"/>
      <c r="K335" s="26" t="s">
        <v>13</v>
      </c>
      <c r="L335" s="26"/>
      <c r="M335" s="26"/>
      <c r="N335" s="26"/>
      <c r="O335" s="26"/>
      <c r="P335" s="25">
        <v>7703011321</v>
      </c>
      <c r="Q335" s="25" t="s">
        <v>849</v>
      </c>
      <c r="R335" s="41" t="s">
        <v>849</v>
      </c>
      <c r="S335" s="41" t="s">
        <v>529</v>
      </c>
      <c r="T335" s="41" t="s">
        <v>528</v>
      </c>
      <c r="U335" s="27" t="s">
        <v>537</v>
      </c>
      <c r="V335" s="15" t="s">
        <v>29</v>
      </c>
      <c r="W335" s="27">
        <v>2</v>
      </c>
      <c r="X335" s="27"/>
      <c r="Y335" s="27"/>
      <c r="Z335" s="27"/>
      <c r="AA335" s="27">
        <v>0.02</v>
      </c>
      <c r="AB335" s="38" t="s">
        <v>30</v>
      </c>
      <c r="AC335" s="27" t="s">
        <v>530</v>
      </c>
      <c r="AD335" s="27" t="s">
        <v>19</v>
      </c>
      <c r="AE335" s="27" t="s">
        <v>20</v>
      </c>
      <c r="AF335" s="27" t="s">
        <v>56</v>
      </c>
      <c r="AG335" s="11"/>
    </row>
    <row r="336" spans="1:33" s="12" customFormat="1" ht="21.95" hidden="1" customHeight="1">
      <c r="A336" s="20">
        <v>335</v>
      </c>
      <c r="B336" s="21">
        <v>12</v>
      </c>
      <c r="C336" s="21">
        <v>23046</v>
      </c>
      <c r="D336" s="21" t="s">
        <v>918</v>
      </c>
      <c r="E336" s="142"/>
      <c r="F336" s="21" t="s">
        <v>918</v>
      </c>
      <c r="G336" s="21" t="s">
        <v>918</v>
      </c>
      <c r="H336" s="21" t="s">
        <v>918</v>
      </c>
      <c r="I336" s="21" t="s">
        <v>697</v>
      </c>
      <c r="J336" s="22" t="s">
        <v>13</v>
      </c>
      <c r="K336" s="22"/>
      <c r="L336" s="22"/>
      <c r="M336" s="22"/>
      <c r="N336" s="22"/>
      <c r="O336" s="22"/>
      <c r="P336" s="21" t="s">
        <v>538</v>
      </c>
      <c r="Q336" s="21" t="s">
        <v>861</v>
      </c>
      <c r="R336" s="39" t="s">
        <v>848</v>
      </c>
      <c r="S336" s="39" t="s">
        <v>539</v>
      </c>
      <c r="T336" s="39"/>
      <c r="U336" s="23" t="s">
        <v>539</v>
      </c>
      <c r="V336" s="14" t="s">
        <v>16</v>
      </c>
      <c r="W336" s="23">
        <v>1</v>
      </c>
      <c r="X336" s="23"/>
      <c r="Y336" s="23"/>
      <c r="Z336" s="23"/>
      <c r="AA336" s="23">
        <v>5.7759999999999998</v>
      </c>
      <c r="AB336" s="37" t="s">
        <v>17</v>
      </c>
      <c r="AC336" s="23" t="s">
        <v>540</v>
      </c>
      <c r="AD336" s="23" t="s">
        <v>19</v>
      </c>
      <c r="AE336" s="23" t="s">
        <v>20</v>
      </c>
      <c r="AF336" s="23" t="s">
        <v>90</v>
      </c>
      <c r="AG336" s="11"/>
    </row>
    <row r="337" spans="1:33" s="12" customFormat="1" ht="21.95" hidden="1" customHeight="1">
      <c r="A337" s="16">
        <v>336</v>
      </c>
      <c r="B337" s="17">
        <v>12</v>
      </c>
      <c r="C337" s="17">
        <v>23046</v>
      </c>
      <c r="D337" s="17" t="s">
        <v>918</v>
      </c>
      <c r="E337" s="143"/>
      <c r="F337" s="21" t="s">
        <v>918</v>
      </c>
      <c r="G337" s="21" t="e">
        <f>VLOOKUP(P337,'CO F3'!$C$2:$M$108,7,FALSE)</f>
        <v>#N/A</v>
      </c>
      <c r="H337" s="21" t="e">
        <f>VLOOKUP(Q337,'CO F3'!$C$2:$M$108,7,FALSE)</f>
        <v>#N/A</v>
      </c>
      <c r="I337" s="17" t="s">
        <v>697</v>
      </c>
      <c r="J337" s="18"/>
      <c r="K337" s="18" t="s">
        <v>13</v>
      </c>
      <c r="L337" s="18"/>
      <c r="M337" s="18"/>
      <c r="N337" s="18"/>
      <c r="O337" s="18"/>
      <c r="P337" s="17" t="s">
        <v>541</v>
      </c>
      <c r="Q337" s="17" t="s">
        <v>863</v>
      </c>
      <c r="R337" s="40" t="s">
        <v>855</v>
      </c>
      <c r="S337" s="40" t="s">
        <v>539</v>
      </c>
      <c r="T337" s="40" t="s">
        <v>538</v>
      </c>
      <c r="U337" s="19" t="s">
        <v>542</v>
      </c>
      <c r="V337" s="13" t="s">
        <v>24</v>
      </c>
      <c r="W337" s="19">
        <v>1</v>
      </c>
      <c r="X337" s="19" t="s">
        <v>841</v>
      </c>
      <c r="Y337" s="19" t="s">
        <v>200</v>
      </c>
      <c r="Z337" s="19">
        <v>1.17</v>
      </c>
      <c r="AA337" s="19">
        <v>4.0599999999999996</v>
      </c>
      <c r="AB337" s="37" t="s">
        <v>17</v>
      </c>
      <c r="AC337" s="19" t="s">
        <v>540</v>
      </c>
      <c r="AD337" s="19" t="s">
        <v>19</v>
      </c>
      <c r="AE337" s="19" t="s">
        <v>20</v>
      </c>
      <c r="AF337" s="19" t="s">
        <v>90</v>
      </c>
      <c r="AG337" s="11"/>
    </row>
    <row r="338" spans="1:33" s="12" customFormat="1" ht="21.95" hidden="1" customHeight="1">
      <c r="A338" s="16">
        <v>337</v>
      </c>
      <c r="B338" s="17">
        <v>12</v>
      </c>
      <c r="C338" s="17">
        <v>23046</v>
      </c>
      <c r="D338" s="17" t="s">
        <v>918</v>
      </c>
      <c r="E338" s="143"/>
      <c r="F338" s="21" t="s">
        <v>918</v>
      </c>
      <c r="G338" s="21" t="e">
        <f>VLOOKUP(P338,'CO F3'!$C$2:$M$108,7,FALSE)</f>
        <v>#N/A</v>
      </c>
      <c r="H338" s="21" t="e">
        <f>VLOOKUP(Q338,'CO F3'!$C$2:$M$108,7,FALSE)</f>
        <v>#N/A</v>
      </c>
      <c r="I338" s="17" t="s">
        <v>697</v>
      </c>
      <c r="J338" s="18"/>
      <c r="K338" s="18" t="s">
        <v>13</v>
      </c>
      <c r="L338" s="18"/>
      <c r="M338" s="18"/>
      <c r="N338" s="18"/>
      <c r="O338" s="18"/>
      <c r="P338" s="17" t="s">
        <v>543</v>
      </c>
      <c r="Q338" s="17" t="s">
        <v>861</v>
      </c>
      <c r="R338" s="40" t="s">
        <v>847</v>
      </c>
      <c r="S338" s="40" t="s">
        <v>539</v>
      </c>
      <c r="T338" s="40" t="s">
        <v>538</v>
      </c>
      <c r="U338" s="19" t="s">
        <v>544</v>
      </c>
      <c r="V338" s="13" t="s">
        <v>24</v>
      </c>
      <c r="W338" s="19">
        <v>4</v>
      </c>
      <c r="X338" s="19" t="s">
        <v>820</v>
      </c>
      <c r="Y338" s="19" t="s">
        <v>61</v>
      </c>
      <c r="Z338" s="19" t="s">
        <v>545</v>
      </c>
      <c r="AA338" s="19">
        <v>0.08</v>
      </c>
      <c r="AB338" s="37" t="s">
        <v>17</v>
      </c>
      <c r="AC338" s="19" t="s">
        <v>540</v>
      </c>
      <c r="AD338" s="19" t="s">
        <v>19</v>
      </c>
      <c r="AE338" s="19" t="s">
        <v>20</v>
      </c>
      <c r="AF338" s="19" t="s">
        <v>90</v>
      </c>
      <c r="AG338" s="11"/>
    </row>
    <row r="339" spans="1:33" s="12" customFormat="1" ht="21.95" hidden="1" customHeight="1">
      <c r="A339" s="16">
        <v>338</v>
      </c>
      <c r="B339" s="17">
        <v>12</v>
      </c>
      <c r="C339" s="17">
        <v>23046</v>
      </c>
      <c r="D339" s="17" t="s">
        <v>918</v>
      </c>
      <c r="E339" s="143"/>
      <c r="F339" s="21" t="s">
        <v>918</v>
      </c>
      <c r="G339" s="21" t="e">
        <f>VLOOKUP(P339,'CO F3'!$C$2:$M$108,7,FALSE)</f>
        <v>#N/A</v>
      </c>
      <c r="H339" s="21" t="e">
        <f>VLOOKUP(Q339,'CO F3'!$C$2:$M$108,7,FALSE)</f>
        <v>#N/A</v>
      </c>
      <c r="I339" s="17" t="s">
        <v>697</v>
      </c>
      <c r="J339" s="18"/>
      <c r="K339" s="18" t="s">
        <v>13</v>
      </c>
      <c r="L339" s="18"/>
      <c r="M339" s="18"/>
      <c r="N339" s="18"/>
      <c r="O339" s="18"/>
      <c r="P339" s="17" t="s">
        <v>546</v>
      </c>
      <c r="Q339" s="17" t="s">
        <v>861</v>
      </c>
      <c r="R339" s="40" t="s">
        <v>847</v>
      </c>
      <c r="S339" s="40" t="s">
        <v>539</v>
      </c>
      <c r="T339" s="40" t="s">
        <v>538</v>
      </c>
      <c r="U339" s="19" t="s">
        <v>547</v>
      </c>
      <c r="V339" s="13" t="s">
        <v>24</v>
      </c>
      <c r="W339" s="19">
        <v>4</v>
      </c>
      <c r="X339" s="19" t="s">
        <v>548</v>
      </c>
      <c r="Y339" s="19" t="s">
        <v>38</v>
      </c>
      <c r="Z339" s="19">
        <v>2</v>
      </c>
      <c r="AA339" s="19">
        <v>0.18</v>
      </c>
      <c r="AB339" s="37" t="s">
        <v>17</v>
      </c>
      <c r="AC339" s="19" t="s">
        <v>540</v>
      </c>
      <c r="AD339" s="19" t="s">
        <v>19</v>
      </c>
      <c r="AE339" s="19" t="s">
        <v>20</v>
      </c>
      <c r="AF339" s="19" t="s">
        <v>90</v>
      </c>
      <c r="AG339" s="11"/>
    </row>
    <row r="340" spans="1:33" s="12" customFormat="1" ht="21.95" hidden="1" customHeight="1">
      <c r="A340" s="31">
        <v>339</v>
      </c>
      <c r="B340" s="32">
        <v>12</v>
      </c>
      <c r="C340" s="32">
        <v>23046</v>
      </c>
      <c r="D340" s="32" t="s">
        <v>918</v>
      </c>
      <c r="E340" s="145"/>
      <c r="F340" s="21" t="s">
        <v>918</v>
      </c>
      <c r="G340" s="21" t="e">
        <f>VLOOKUP(P340,'CO F3'!$C$2:$M$108,7,FALSE)</f>
        <v>#N/A</v>
      </c>
      <c r="H340" s="21" t="e">
        <f>VLOOKUP(Q340,'CO F3'!$C$2:$M$108,7,FALSE)</f>
        <v>#N/A</v>
      </c>
      <c r="I340" s="32" t="s">
        <v>697</v>
      </c>
      <c r="J340" s="33"/>
      <c r="K340" s="33" t="s">
        <v>13</v>
      </c>
      <c r="L340" s="33"/>
      <c r="M340" s="33"/>
      <c r="N340" s="33"/>
      <c r="O340" s="33"/>
      <c r="P340" s="32" t="s">
        <v>549</v>
      </c>
      <c r="Q340" s="32" t="s">
        <v>849</v>
      </c>
      <c r="R340" s="42" t="s">
        <v>849</v>
      </c>
      <c r="S340" s="42" t="s">
        <v>539</v>
      </c>
      <c r="T340" s="42" t="s">
        <v>538</v>
      </c>
      <c r="U340" s="34" t="s">
        <v>550</v>
      </c>
      <c r="V340" s="35" t="s">
        <v>41</v>
      </c>
      <c r="W340" s="34">
        <v>2</v>
      </c>
      <c r="X340" s="34"/>
      <c r="Y340" s="34"/>
      <c r="Z340" s="34"/>
      <c r="AA340" s="34">
        <v>0.33800000000000002</v>
      </c>
      <c r="AB340" s="37" t="s">
        <v>17</v>
      </c>
      <c r="AC340" s="34" t="s">
        <v>540</v>
      </c>
      <c r="AD340" s="34" t="s">
        <v>19</v>
      </c>
      <c r="AE340" s="34" t="s">
        <v>20</v>
      </c>
      <c r="AF340" s="34" t="s">
        <v>90</v>
      </c>
      <c r="AG340" s="11"/>
    </row>
    <row r="341" spans="1:33" s="12" customFormat="1" ht="21.95" hidden="1" customHeight="1">
      <c r="A341" s="16">
        <v>340</v>
      </c>
      <c r="B341" s="17">
        <v>12</v>
      </c>
      <c r="C341" s="17">
        <v>23046</v>
      </c>
      <c r="D341" s="17" t="s">
        <v>918</v>
      </c>
      <c r="E341" s="143"/>
      <c r="F341" s="21" t="s">
        <v>918</v>
      </c>
      <c r="G341" s="21" t="e">
        <f>VLOOKUP(P341,'CO F3'!$C$2:$M$108,7,FALSE)</f>
        <v>#N/A</v>
      </c>
      <c r="H341" s="21" t="e">
        <f>VLOOKUP(Q341,'CO F3'!$C$2:$M$108,7,FALSE)</f>
        <v>#N/A</v>
      </c>
      <c r="I341" s="17" t="s">
        <v>697</v>
      </c>
      <c r="J341" s="18"/>
      <c r="K341" s="18"/>
      <c r="L341" s="18" t="s">
        <v>13</v>
      </c>
      <c r="M341" s="18"/>
      <c r="N341" s="18"/>
      <c r="O341" s="18"/>
      <c r="P341" s="17" t="s">
        <v>551</v>
      </c>
      <c r="Q341" s="17" t="s">
        <v>864</v>
      </c>
      <c r="R341" s="40" t="s">
        <v>851</v>
      </c>
      <c r="S341" s="40" t="s">
        <v>539</v>
      </c>
      <c r="T341" s="40" t="s">
        <v>549</v>
      </c>
      <c r="U341" s="19" t="s">
        <v>552</v>
      </c>
      <c r="V341" s="13" t="s">
        <v>24</v>
      </c>
      <c r="W341" s="19">
        <v>2</v>
      </c>
      <c r="X341" s="19" t="s">
        <v>553</v>
      </c>
      <c r="Y341" s="19" t="s">
        <v>200</v>
      </c>
      <c r="Z341" s="19">
        <v>1.17</v>
      </c>
      <c r="AA341" s="19">
        <v>0.28999999999999998</v>
      </c>
      <c r="AB341" s="37" t="s">
        <v>17</v>
      </c>
      <c r="AC341" s="19" t="s">
        <v>540</v>
      </c>
      <c r="AD341" s="19" t="s">
        <v>19</v>
      </c>
      <c r="AE341" s="19" t="s">
        <v>20</v>
      </c>
      <c r="AF341" s="19" t="s">
        <v>90</v>
      </c>
      <c r="AG341" s="11"/>
    </row>
    <row r="342" spans="1:33" s="12" customFormat="1" ht="21.95" hidden="1" customHeight="1">
      <c r="A342" s="24">
        <v>341</v>
      </c>
      <c r="B342" s="25"/>
      <c r="C342" s="25"/>
      <c r="D342" s="25" t="s">
        <v>918</v>
      </c>
      <c r="E342" s="144"/>
      <c r="F342" s="21" t="s">
        <v>917</v>
      </c>
      <c r="G342" s="21" t="e">
        <f>VLOOKUP(P342,'CO F3'!$C$2:$M$108,7,FALSE)</f>
        <v>#N/A</v>
      </c>
      <c r="H342" s="21" t="e">
        <f>VLOOKUP(Q342,'CO F3'!$C$2:$M$108,7,FALSE)</f>
        <v>#N/A</v>
      </c>
      <c r="I342" s="25" t="s">
        <v>697</v>
      </c>
      <c r="J342" s="26"/>
      <c r="K342" s="26"/>
      <c r="L342" s="26" t="s">
        <v>13</v>
      </c>
      <c r="M342" s="26"/>
      <c r="N342" s="26"/>
      <c r="O342" s="26"/>
      <c r="P342" s="25">
        <v>7703042123</v>
      </c>
      <c r="Q342" s="25" t="s">
        <v>849</v>
      </c>
      <c r="R342" s="41" t="s">
        <v>849</v>
      </c>
      <c r="S342" s="41" t="s">
        <v>539</v>
      </c>
      <c r="T342" s="41" t="s">
        <v>549</v>
      </c>
      <c r="U342" s="27" t="s">
        <v>819</v>
      </c>
      <c r="V342" s="15" t="s">
        <v>29</v>
      </c>
      <c r="W342" s="27">
        <v>2</v>
      </c>
      <c r="X342" s="27"/>
      <c r="Y342" s="27"/>
      <c r="Z342" s="27"/>
      <c r="AA342" s="27">
        <v>2.4E-2</v>
      </c>
      <c r="AB342" s="38" t="s">
        <v>30</v>
      </c>
      <c r="AC342" s="27" t="s">
        <v>540</v>
      </c>
      <c r="AD342" s="27" t="s">
        <v>19</v>
      </c>
      <c r="AE342" s="27" t="s">
        <v>20</v>
      </c>
      <c r="AF342" s="27" t="s">
        <v>90</v>
      </c>
      <c r="AG342" s="11"/>
    </row>
    <row r="343" spans="1:33" s="12" customFormat="1" ht="21.95" hidden="1" customHeight="1">
      <c r="A343" s="24">
        <v>342</v>
      </c>
      <c r="B343" s="25"/>
      <c r="C343" s="25"/>
      <c r="D343" s="25" t="s">
        <v>918</v>
      </c>
      <c r="E343" s="144"/>
      <c r="F343" s="21" t="s">
        <v>917</v>
      </c>
      <c r="G343" s="21" t="e">
        <f>VLOOKUP(P343,'CO F3'!$C$2:$M$108,7,FALSE)</f>
        <v>#N/A</v>
      </c>
      <c r="H343" s="21" t="e">
        <f>VLOOKUP(Q343,'CO F3'!$C$2:$M$108,7,FALSE)</f>
        <v>#N/A</v>
      </c>
      <c r="I343" s="25" t="s">
        <v>697</v>
      </c>
      <c r="J343" s="26"/>
      <c r="K343" s="26" t="s">
        <v>13</v>
      </c>
      <c r="L343" s="26"/>
      <c r="M343" s="26"/>
      <c r="N343" s="26"/>
      <c r="O343" s="26"/>
      <c r="P343" s="25">
        <v>7703042086</v>
      </c>
      <c r="Q343" s="25" t="s">
        <v>849</v>
      </c>
      <c r="R343" s="41" t="s">
        <v>849</v>
      </c>
      <c r="S343" s="41" t="s">
        <v>539</v>
      </c>
      <c r="T343" s="41" t="s">
        <v>538</v>
      </c>
      <c r="U343" s="27" t="s">
        <v>554</v>
      </c>
      <c r="V343" s="15" t="s">
        <v>29</v>
      </c>
      <c r="W343" s="27">
        <v>2</v>
      </c>
      <c r="X343" s="27"/>
      <c r="Y343" s="27"/>
      <c r="Z343" s="27"/>
      <c r="AA343" s="27"/>
      <c r="AB343" s="38" t="s">
        <v>30</v>
      </c>
      <c r="AC343" s="27" t="s">
        <v>540</v>
      </c>
      <c r="AD343" s="27" t="s">
        <v>19</v>
      </c>
      <c r="AE343" s="27" t="s">
        <v>20</v>
      </c>
      <c r="AF343" s="27" t="s">
        <v>90</v>
      </c>
      <c r="AG343" s="11"/>
    </row>
    <row r="344" spans="1:33" s="12" customFormat="1" ht="21.95" customHeight="1">
      <c r="A344" s="20">
        <v>343</v>
      </c>
      <c r="B344" s="21">
        <v>12</v>
      </c>
      <c r="C344" s="21">
        <v>26303</v>
      </c>
      <c r="D344" s="21" t="s">
        <v>918</v>
      </c>
      <c r="E344" s="142"/>
      <c r="F344" s="21" t="s">
        <v>918</v>
      </c>
      <c r="G344" s="21" t="s">
        <v>918</v>
      </c>
      <c r="H344" s="21" t="s">
        <v>918</v>
      </c>
      <c r="I344" s="21" t="s">
        <v>697</v>
      </c>
      <c r="J344" s="22" t="s">
        <v>13</v>
      </c>
      <c r="K344" s="22"/>
      <c r="L344" s="22"/>
      <c r="M344" s="22"/>
      <c r="N344" s="22"/>
      <c r="O344" s="22"/>
      <c r="P344" s="21" t="s">
        <v>555</v>
      </c>
      <c r="Q344" s="21" t="s">
        <v>849</v>
      </c>
      <c r="R344" s="39" t="s">
        <v>849</v>
      </c>
      <c r="S344" s="39" t="s">
        <v>556</v>
      </c>
      <c r="T344" s="39"/>
      <c r="U344" s="23" t="s">
        <v>556</v>
      </c>
      <c r="V344" s="14" t="s">
        <v>16</v>
      </c>
      <c r="W344" s="23">
        <v>1</v>
      </c>
      <c r="X344" s="23"/>
      <c r="Y344" s="23"/>
      <c r="Z344" s="23"/>
      <c r="AA344" s="23">
        <v>14.884999999999994</v>
      </c>
      <c r="AB344" s="37" t="s">
        <v>17</v>
      </c>
      <c r="AC344" s="23" t="s">
        <v>557</v>
      </c>
      <c r="AD344" s="23" t="s">
        <v>19</v>
      </c>
      <c r="AE344" s="23" t="s">
        <v>20</v>
      </c>
      <c r="AF344" s="23" t="s">
        <v>90</v>
      </c>
      <c r="AG344" s="11"/>
    </row>
    <row r="345" spans="1:33" s="12" customFormat="1" ht="21.95" customHeight="1">
      <c r="A345" s="24">
        <v>344</v>
      </c>
      <c r="B345" s="25">
        <v>12</v>
      </c>
      <c r="C345" s="25">
        <v>26303</v>
      </c>
      <c r="D345" s="25" t="s">
        <v>918</v>
      </c>
      <c r="E345" s="144"/>
      <c r="F345" s="21" t="s">
        <v>917</v>
      </c>
      <c r="G345" s="21" t="e">
        <f>VLOOKUP(P345,'CO F3'!$C$2:$M$108,7,FALSE)</f>
        <v>#N/A</v>
      </c>
      <c r="H345" s="21" t="e">
        <f>VLOOKUP(Q345,'CO F3'!$C$2:$M$108,7,FALSE)</f>
        <v>#N/A</v>
      </c>
      <c r="I345" s="25" t="s">
        <v>697</v>
      </c>
      <c r="J345" s="26"/>
      <c r="K345" s="26" t="s">
        <v>13</v>
      </c>
      <c r="L345" s="26"/>
      <c r="M345" s="26"/>
      <c r="N345" s="26"/>
      <c r="O345" s="26"/>
      <c r="P345" s="25">
        <v>7703072426</v>
      </c>
      <c r="Q345" s="25" t="s">
        <v>849</v>
      </c>
      <c r="R345" s="41" t="s">
        <v>849</v>
      </c>
      <c r="S345" s="41" t="s">
        <v>556</v>
      </c>
      <c r="T345" s="41" t="s">
        <v>555</v>
      </c>
      <c r="U345" s="27" t="s">
        <v>57</v>
      </c>
      <c r="V345" s="15" t="s">
        <v>29</v>
      </c>
      <c r="W345" s="27">
        <v>14</v>
      </c>
      <c r="X345" s="27"/>
      <c r="Y345" s="27"/>
      <c r="Z345" s="27"/>
      <c r="AA345" s="27">
        <v>5.6000000000000001E-2</v>
      </c>
      <c r="AB345" s="38" t="s">
        <v>30</v>
      </c>
      <c r="AC345" s="27" t="s">
        <v>557</v>
      </c>
      <c r="AD345" s="27" t="s">
        <v>19</v>
      </c>
      <c r="AE345" s="27" t="s">
        <v>20</v>
      </c>
      <c r="AF345" s="27" t="s">
        <v>90</v>
      </c>
      <c r="AG345" s="11"/>
    </row>
    <row r="346" spans="1:33" s="12" customFormat="1" ht="21.95" customHeight="1">
      <c r="A346" s="24">
        <v>345</v>
      </c>
      <c r="B346" s="25">
        <v>12</v>
      </c>
      <c r="C346" s="25">
        <v>26303</v>
      </c>
      <c r="D346" s="25" t="s">
        <v>918</v>
      </c>
      <c r="E346" s="144"/>
      <c r="F346" s="21" t="s">
        <v>917</v>
      </c>
      <c r="G346" s="21" t="e">
        <f>VLOOKUP(P346,'CO F3'!$C$2:$M$108,7,FALSE)</f>
        <v>#N/A</v>
      </c>
      <c r="H346" s="21" t="e">
        <f>VLOOKUP(Q346,'CO F3'!$C$2:$M$108,7,FALSE)</f>
        <v>#N/A</v>
      </c>
      <c r="I346" s="25" t="s">
        <v>697</v>
      </c>
      <c r="J346" s="26"/>
      <c r="K346" s="26" t="s">
        <v>13</v>
      </c>
      <c r="L346" s="26"/>
      <c r="M346" s="26"/>
      <c r="N346" s="26"/>
      <c r="O346" s="26"/>
      <c r="P346" s="25">
        <v>7703611016</v>
      </c>
      <c r="Q346" s="25" t="s">
        <v>849</v>
      </c>
      <c r="R346" s="41" t="s">
        <v>849</v>
      </c>
      <c r="S346" s="41" t="s">
        <v>556</v>
      </c>
      <c r="T346" s="41" t="s">
        <v>555</v>
      </c>
      <c r="U346" s="27" t="s">
        <v>331</v>
      </c>
      <c r="V346" s="15" t="s">
        <v>29</v>
      </c>
      <c r="W346" s="27">
        <v>2</v>
      </c>
      <c r="X346" s="27"/>
      <c r="Y346" s="27"/>
      <c r="Z346" s="27"/>
      <c r="AA346" s="27">
        <v>2.1999999999999999E-2</v>
      </c>
      <c r="AB346" s="38" t="s">
        <v>30</v>
      </c>
      <c r="AC346" s="27" t="s">
        <v>557</v>
      </c>
      <c r="AD346" s="27" t="s">
        <v>19</v>
      </c>
      <c r="AE346" s="27" t="s">
        <v>20</v>
      </c>
      <c r="AF346" s="27" t="s">
        <v>90</v>
      </c>
      <c r="AG346" s="11"/>
    </row>
    <row r="347" spans="1:33" s="12" customFormat="1" ht="21.95" customHeight="1">
      <c r="A347" s="16">
        <v>346</v>
      </c>
      <c r="B347" s="17">
        <v>12</v>
      </c>
      <c r="C347" s="17">
        <v>26303</v>
      </c>
      <c r="D347" s="17" t="s">
        <v>918</v>
      </c>
      <c r="E347" s="143"/>
      <c r="F347" s="21" t="s">
        <v>918</v>
      </c>
      <c r="G347" s="21" t="e">
        <f>VLOOKUP(P347,'CO F3'!$C$2:$M$108,7,FALSE)</f>
        <v>#N/A</v>
      </c>
      <c r="H347" s="21" t="e">
        <f>VLOOKUP(Q347,'CO F3'!$C$2:$M$108,7,FALSE)</f>
        <v>#N/A</v>
      </c>
      <c r="I347" s="17" t="s">
        <v>697</v>
      </c>
      <c r="J347" s="18"/>
      <c r="K347" s="18" t="s">
        <v>13</v>
      </c>
      <c r="L347" s="18"/>
      <c r="M347" s="18"/>
      <c r="N347" s="18"/>
      <c r="O347" s="18"/>
      <c r="P347" s="17" t="s">
        <v>558</v>
      </c>
      <c r="Q347" s="17" t="s">
        <v>871</v>
      </c>
      <c r="R347" s="40" t="s">
        <v>852</v>
      </c>
      <c r="S347" s="40" t="s">
        <v>556</v>
      </c>
      <c r="T347" s="40" t="s">
        <v>555</v>
      </c>
      <c r="U347" s="19" t="s">
        <v>559</v>
      </c>
      <c r="V347" s="13" t="s">
        <v>24</v>
      </c>
      <c r="W347" s="19">
        <v>1</v>
      </c>
      <c r="X347" s="19" t="s">
        <v>836</v>
      </c>
      <c r="Y347" s="19" t="s">
        <v>134</v>
      </c>
      <c r="Z347" s="19">
        <v>1.1000000000000001</v>
      </c>
      <c r="AA347" s="19">
        <v>0.56000000000000005</v>
      </c>
      <c r="AB347" s="37" t="s">
        <v>17</v>
      </c>
      <c r="AC347" s="19" t="s">
        <v>557</v>
      </c>
      <c r="AD347" s="19" t="s">
        <v>19</v>
      </c>
      <c r="AE347" s="19" t="s">
        <v>20</v>
      </c>
      <c r="AF347" s="19" t="s">
        <v>90</v>
      </c>
      <c r="AG347" s="11"/>
    </row>
    <row r="348" spans="1:33" s="12" customFormat="1" ht="21.95" customHeight="1">
      <c r="A348" s="16">
        <v>347</v>
      </c>
      <c r="B348" s="17">
        <v>12</v>
      </c>
      <c r="C348" s="17">
        <v>26303</v>
      </c>
      <c r="D348" s="17" t="s">
        <v>918</v>
      </c>
      <c r="E348" s="143"/>
      <c r="F348" s="21" t="s">
        <v>918</v>
      </c>
      <c r="G348" s="21" t="e">
        <f>VLOOKUP(P348,'CO F3'!$C$2:$M$108,7,FALSE)</f>
        <v>#N/A</v>
      </c>
      <c r="H348" s="21" t="e">
        <f>VLOOKUP(Q348,'CO F3'!$C$2:$M$108,7,FALSE)</f>
        <v>#N/A</v>
      </c>
      <c r="I348" s="17" t="s">
        <v>697</v>
      </c>
      <c r="J348" s="18"/>
      <c r="K348" s="18" t="s">
        <v>13</v>
      </c>
      <c r="L348" s="18"/>
      <c r="M348" s="18"/>
      <c r="N348" s="18"/>
      <c r="O348" s="18"/>
      <c r="P348" s="17" t="s">
        <v>560</v>
      </c>
      <c r="Q348" s="17" t="s">
        <v>861</v>
      </c>
      <c r="R348" s="40" t="s">
        <v>847</v>
      </c>
      <c r="S348" s="40" t="s">
        <v>556</v>
      </c>
      <c r="T348" s="40" t="s">
        <v>555</v>
      </c>
      <c r="U348" s="19" t="s">
        <v>561</v>
      </c>
      <c r="V348" s="13" t="s">
        <v>24</v>
      </c>
      <c r="W348" s="19">
        <v>1</v>
      </c>
      <c r="X348" s="19" t="s">
        <v>548</v>
      </c>
      <c r="Y348" s="19"/>
      <c r="Z348" s="19">
        <v>1.55</v>
      </c>
      <c r="AA348" s="19">
        <v>0.73</v>
      </c>
      <c r="AB348" s="44" t="s">
        <v>27</v>
      </c>
      <c r="AC348" s="19" t="s">
        <v>557</v>
      </c>
      <c r="AD348" s="19" t="s">
        <v>19</v>
      </c>
      <c r="AE348" s="19" t="s">
        <v>20</v>
      </c>
      <c r="AF348" s="19" t="s">
        <v>90</v>
      </c>
      <c r="AG348" s="11"/>
    </row>
    <row r="349" spans="1:33" s="12" customFormat="1" ht="21.95" customHeight="1">
      <c r="A349" s="16">
        <v>348</v>
      </c>
      <c r="B349" s="17">
        <v>12</v>
      </c>
      <c r="C349" s="17">
        <v>26303</v>
      </c>
      <c r="D349" s="17" t="s">
        <v>918</v>
      </c>
      <c r="E349" s="143"/>
      <c r="F349" s="133" t="s">
        <v>896</v>
      </c>
      <c r="G349" s="21" t="str">
        <f>VLOOKUP(P349,'CO F3'!$C$2:$M$108,7,FALSE)</f>
        <v>CURITIBA plant</v>
      </c>
      <c r="H349" s="21" t="e">
        <f>VLOOKUP(Q349,'CO F3'!$C$2:$M$108,7,FALSE)</f>
        <v>#N/A</v>
      </c>
      <c r="I349" s="17" t="s">
        <v>697</v>
      </c>
      <c r="J349" s="18"/>
      <c r="K349" s="18" t="s">
        <v>13</v>
      </c>
      <c r="L349" s="18"/>
      <c r="M349" s="18"/>
      <c r="N349" s="18"/>
      <c r="O349" s="18"/>
      <c r="P349" s="17" t="s">
        <v>562</v>
      </c>
      <c r="Q349" s="17" t="s">
        <v>864</v>
      </c>
      <c r="R349" s="40" t="s">
        <v>847</v>
      </c>
      <c r="S349" s="40" t="s">
        <v>556</v>
      </c>
      <c r="T349" s="40" t="s">
        <v>555</v>
      </c>
      <c r="U349" s="19" t="s">
        <v>563</v>
      </c>
      <c r="V349" s="13" t="s">
        <v>24</v>
      </c>
      <c r="W349" s="19">
        <v>1</v>
      </c>
      <c r="X349" s="19" t="s">
        <v>462</v>
      </c>
      <c r="Y349" s="19" t="s">
        <v>38</v>
      </c>
      <c r="Z349" s="19">
        <v>0.78</v>
      </c>
      <c r="AA349" s="19">
        <v>6.29</v>
      </c>
      <c r="AB349" s="44" t="s">
        <v>27</v>
      </c>
      <c r="AC349" s="19" t="s">
        <v>557</v>
      </c>
      <c r="AD349" s="19" t="s">
        <v>19</v>
      </c>
      <c r="AE349" s="19" t="s">
        <v>20</v>
      </c>
      <c r="AF349" s="19" t="s">
        <v>90</v>
      </c>
      <c r="AG349" s="11"/>
    </row>
    <row r="350" spans="1:33" s="12" customFormat="1" ht="21.95" customHeight="1">
      <c r="A350" s="16">
        <v>349</v>
      </c>
      <c r="B350" s="17">
        <v>12</v>
      </c>
      <c r="C350" s="17">
        <v>26303</v>
      </c>
      <c r="D350" s="17" t="s">
        <v>918</v>
      </c>
      <c r="E350" s="143"/>
      <c r="F350" s="21" t="s">
        <v>887</v>
      </c>
      <c r="G350" s="21" t="str">
        <f>VLOOKUP(P350,'CO F3'!$C$2:$M$108,7,FALSE)</f>
        <v>SC SILDVB COM SA</v>
      </c>
      <c r="H350" s="21" t="e">
        <f>VLOOKUP(Q350,'CO F3'!$C$2:$M$108,7,FALSE)</f>
        <v>#N/A</v>
      </c>
      <c r="I350" s="17" t="s">
        <v>697</v>
      </c>
      <c r="J350" s="18"/>
      <c r="K350" s="18" t="s">
        <v>13</v>
      </c>
      <c r="L350" s="18"/>
      <c r="M350" s="18"/>
      <c r="N350" s="18"/>
      <c r="O350" s="18"/>
      <c r="P350" s="17" t="s">
        <v>564</v>
      </c>
      <c r="Q350" s="17" t="s">
        <v>866</v>
      </c>
      <c r="R350" s="40" t="s">
        <v>847</v>
      </c>
      <c r="S350" s="40" t="s">
        <v>556</v>
      </c>
      <c r="T350" s="40" t="s">
        <v>555</v>
      </c>
      <c r="U350" s="19" t="s">
        <v>565</v>
      </c>
      <c r="V350" s="13" t="s">
        <v>24</v>
      </c>
      <c r="W350" s="19">
        <v>1</v>
      </c>
      <c r="X350" s="19" t="s">
        <v>548</v>
      </c>
      <c r="Y350" s="19" t="s">
        <v>844</v>
      </c>
      <c r="Z350" s="19">
        <v>1.17</v>
      </c>
      <c r="AA350" s="19">
        <v>0.6</v>
      </c>
      <c r="AB350" s="38" t="s">
        <v>30</v>
      </c>
      <c r="AC350" s="19" t="s">
        <v>557</v>
      </c>
      <c r="AD350" s="19" t="s">
        <v>19</v>
      </c>
      <c r="AE350" s="19" t="s">
        <v>20</v>
      </c>
      <c r="AF350" s="19" t="s">
        <v>90</v>
      </c>
      <c r="AG350" s="11"/>
    </row>
    <row r="351" spans="1:33" s="12" customFormat="1" ht="21.95" customHeight="1">
      <c r="A351" s="16">
        <v>350</v>
      </c>
      <c r="B351" s="17">
        <v>12</v>
      </c>
      <c r="C351" s="17">
        <v>26303</v>
      </c>
      <c r="D351" s="17" t="s">
        <v>918</v>
      </c>
      <c r="E351" s="143"/>
      <c r="F351" s="21" t="s">
        <v>912</v>
      </c>
      <c r="G351" s="21" t="str">
        <f>VLOOKUP(P351,'CO F3'!$C$2:$M$108,7,FALSE)</f>
        <v>COSKUNOZ MA SRL ROMANIA</v>
      </c>
      <c r="H351" s="21" t="e">
        <f>VLOOKUP(Q351,'CO F3'!$C$2:$M$108,7,FALSE)</f>
        <v>#N/A</v>
      </c>
      <c r="I351" s="17" t="s">
        <v>697</v>
      </c>
      <c r="J351" s="18"/>
      <c r="K351" s="18" t="s">
        <v>13</v>
      </c>
      <c r="L351" s="18"/>
      <c r="M351" s="18"/>
      <c r="N351" s="18"/>
      <c r="O351" s="18"/>
      <c r="P351" s="17" t="s">
        <v>566</v>
      </c>
      <c r="Q351" s="17" t="s">
        <v>867</v>
      </c>
      <c r="R351" s="40" t="s">
        <v>847</v>
      </c>
      <c r="S351" s="40" t="s">
        <v>556</v>
      </c>
      <c r="T351" s="40" t="s">
        <v>555</v>
      </c>
      <c r="U351" s="19" t="s">
        <v>567</v>
      </c>
      <c r="V351" s="13" t="s">
        <v>24</v>
      </c>
      <c r="W351" s="19">
        <v>1</v>
      </c>
      <c r="X351" s="19" t="s">
        <v>548</v>
      </c>
      <c r="Y351" s="19" t="s">
        <v>844</v>
      </c>
      <c r="Z351" s="19">
        <v>1.17</v>
      </c>
      <c r="AA351" s="19">
        <v>0.36</v>
      </c>
      <c r="AB351" s="38" t="s">
        <v>30</v>
      </c>
      <c r="AC351" s="19" t="s">
        <v>557</v>
      </c>
      <c r="AD351" s="19" t="s">
        <v>19</v>
      </c>
      <c r="AE351" s="19" t="s">
        <v>20</v>
      </c>
      <c r="AF351" s="19" t="s">
        <v>90</v>
      </c>
      <c r="AG351" s="11"/>
    </row>
    <row r="352" spans="1:33" s="12" customFormat="1" ht="21.95" customHeight="1">
      <c r="A352" s="31">
        <v>351</v>
      </c>
      <c r="B352" s="32">
        <v>12</v>
      </c>
      <c r="C352" s="32">
        <v>26303</v>
      </c>
      <c r="D352" s="32" t="s">
        <v>918</v>
      </c>
      <c r="E352" s="145"/>
      <c r="F352" s="21" t="s">
        <v>897</v>
      </c>
      <c r="G352" s="21" t="str">
        <f>VLOOKUP(P352,'CO F3'!$C$2:$M$108,7,FALSE)</f>
        <v>MUSA PITESTI ROMANIA</v>
      </c>
      <c r="H352" s="21" t="e">
        <f>VLOOKUP(Q352,'CO F3'!$C$2:$M$108,7,FALSE)</f>
        <v>#N/A</v>
      </c>
      <c r="I352" s="32" t="s">
        <v>697</v>
      </c>
      <c r="J352" s="33"/>
      <c r="K352" s="33" t="s">
        <v>13</v>
      </c>
      <c r="L352" s="33"/>
      <c r="M352" s="33"/>
      <c r="N352" s="33"/>
      <c r="O352" s="33"/>
      <c r="P352" s="32" t="s">
        <v>568</v>
      </c>
      <c r="Q352" s="32" t="s">
        <v>849</v>
      </c>
      <c r="R352" s="42" t="s">
        <v>849</v>
      </c>
      <c r="S352" s="42" t="s">
        <v>556</v>
      </c>
      <c r="T352" s="42" t="s">
        <v>555</v>
      </c>
      <c r="U352" s="34" t="s">
        <v>569</v>
      </c>
      <c r="V352" s="35" t="s">
        <v>41</v>
      </c>
      <c r="W352" s="34">
        <v>1</v>
      </c>
      <c r="X352" s="34"/>
      <c r="Y352" s="34"/>
      <c r="Z352" s="34"/>
      <c r="AA352" s="34"/>
      <c r="AB352" s="38" t="s">
        <v>30</v>
      </c>
      <c r="AC352" s="34" t="s">
        <v>557</v>
      </c>
      <c r="AD352" s="34" t="s">
        <v>19</v>
      </c>
      <c r="AE352" s="34" t="s">
        <v>20</v>
      </c>
      <c r="AF352" s="34" t="s">
        <v>90</v>
      </c>
      <c r="AG352" s="11"/>
    </row>
    <row r="353" spans="1:33" s="12" customFormat="1" ht="21.95" customHeight="1">
      <c r="A353" s="119">
        <v>352</v>
      </c>
      <c r="B353" s="120">
        <v>12</v>
      </c>
      <c r="C353" s="120">
        <v>26303</v>
      </c>
      <c r="D353" s="120" t="s">
        <v>918</v>
      </c>
      <c r="E353" s="146"/>
      <c r="F353" s="21" t="s">
        <v>897</v>
      </c>
      <c r="G353" s="21" t="e">
        <f>VLOOKUP(P353,'CO F3'!$C$2:$M$108,7,FALSE)</f>
        <v>#N/A</v>
      </c>
      <c r="H353" s="21" t="e">
        <f>VLOOKUP(Q353,'CO F3'!$C$2:$M$108,7,FALSE)</f>
        <v>#N/A</v>
      </c>
      <c r="I353" s="120" t="s">
        <v>697</v>
      </c>
      <c r="J353" s="121"/>
      <c r="K353" s="121"/>
      <c r="L353" s="121" t="s">
        <v>13</v>
      </c>
      <c r="M353" s="121"/>
      <c r="N353" s="121"/>
      <c r="O353" s="121"/>
      <c r="P353" s="120" t="s">
        <v>570</v>
      </c>
      <c r="Q353" s="120" t="s">
        <v>866</v>
      </c>
      <c r="R353" s="122" t="s">
        <v>848</v>
      </c>
      <c r="S353" s="122" t="s">
        <v>556</v>
      </c>
      <c r="T353" s="122" t="s">
        <v>568</v>
      </c>
      <c r="U353" s="123" t="s">
        <v>571</v>
      </c>
      <c r="V353" s="124" t="s">
        <v>24</v>
      </c>
      <c r="W353" s="123">
        <v>1</v>
      </c>
      <c r="X353" s="123" t="s">
        <v>156</v>
      </c>
      <c r="Y353" s="123"/>
      <c r="Z353" s="123" t="s">
        <v>572</v>
      </c>
      <c r="AA353" s="123">
        <v>7.0000000000000007E-2</v>
      </c>
      <c r="AB353" s="38" t="s">
        <v>30</v>
      </c>
      <c r="AC353" s="123" t="s">
        <v>557</v>
      </c>
      <c r="AD353" s="123" t="s">
        <v>19</v>
      </c>
      <c r="AE353" s="123" t="s">
        <v>20</v>
      </c>
      <c r="AF353" s="123" t="s">
        <v>90</v>
      </c>
      <c r="AG353" s="11"/>
    </row>
    <row r="354" spans="1:33" s="12" customFormat="1" ht="21.95" customHeight="1">
      <c r="A354" s="16">
        <v>353</v>
      </c>
      <c r="B354" s="17">
        <v>12</v>
      </c>
      <c r="C354" s="17">
        <v>26303</v>
      </c>
      <c r="D354" s="17" t="s">
        <v>918</v>
      </c>
      <c r="E354" s="143"/>
      <c r="F354" s="21" t="s">
        <v>897</v>
      </c>
      <c r="G354" s="21" t="str">
        <f>VLOOKUP(P354,'CO F3'!$C$2:$M$108,7,FALSE)</f>
        <v>MUSA PITESTI ROMANIA</v>
      </c>
      <c r="H354" s="21" t="e">
        <f>VLOOKUP(Q354,'CO F3'!$C$2:$M$108,7,FALSE)</f>
        <v>#N/A</v>
      </c>
      <c r="I354" s="17" t="s">
        <v>697</v>
      </c>
      <c r="J354" s="18"/>
      <c r="K354" s="18"/>
      <c r="L354" s="18" t="s">
        <v>13</v>
      </c>
      <c r="M354" s="18"/>
      <c r="N354" s="18"/>
      <c r="O354" s="18"/>
      <c r="P354" s="17" t="s">
        <v>573</v>
      </c>
      <c r="Q354" s="17" t="s">
        <v>867</v>
      </c>
      <c r="R354" s="40" t="s">
        <v>853</v>
      </c>
      <c r="S354" s="40" t="s">
        <v>556</v>
      </c>
      <c r="T354" s="40" t="s">
        <v>568</v>
      </c>
      <c r="U354" s="19" t="s">
        <v>574</v>
      </c>
      <c r="V354" s="13" t="s">
        <v>24</v>
      </c>
      <c r="W354" s="19">
        <v>1</v>
      </c>
      <c r="X354" s="19" t="s">
        <v>548</v>
      </c>
      <c r="Y354" s="19" t="s">
        <v>194</v>
      </c>
      <c r="Z354" s="19">
        <v>1.17</v>
      </c>
      <c r="AA354" s="19">
        <v>0.23</v>
      </c>
      <c r="AB354" s="38" t="s">
        <v>30</v>
      </c>
      <c r="AC354" s="19" t="s">
        <v>557</v>
      </c>
      <c r="AD354" s="19" t="s">
        <v>19</v>
      </c>
      <c r="AE354" s="19" t="s">
        <v>20</v>
      </c>
      <c r="AF354" s="19" t="s">
        <v>90</v>
      </c>
      <c r="AG354" s="11"/>
    </row>
    <row r="355" spans="1:33" s="12" customFormat="1" ht="21.95" customHeight="1">
      <c r="A355" s="31">
        <v>354</v>
      </c>
      <c r="B355" s="32">
        <v>12</v>
      </c>
      <c r="C355" s="32">
        <v>26303</v>
      </c>
      <c r="D355" s="32" t="s">
        <v>918</v>
      </c>
      <c r="E355" s="145"/>
      <c r="F355" s="133" t="s">
        <v>917</v>
      </c>
      <c r="G355" s="21" t="e">
        <f>VLOOKUP(P355,'CO F3'!$C$2:$M$108,7,FALSE)</f>
        <v>#N/A</v>
      </c>
      <c r="H355" s="21" t="e">
        <f>VLOOKUP(Q355,'CO F3'!$C$2:$M$108,7,FALSE)</f>
        <v>#N/A</v>
      </c>
      <c r="I355" s="32" t="s">
        <v>697</v>
      </c>
      <c r="J355" s="33"/>
      <c r="K355" s="33"/>
      <c r="L355" s="33" t="s">
        <v>13</v>
      </c>
      <c r="M355" s="33"/>
      <c r="N355" s="33"/>
      <c r="O355" s="33"/>
      <c r="P355" s="32" t="s">
        <v>575</v>
      </c>
      <c r="Q355" s="32" t="s">
        <v>849</v>
      </c>
      <c r="R355" s="42" t="s">
        <v>849</v>
      </c>
      <c r="S355" s="42" t="s">
        <v>556</v>
      </c>
      <c r="T355" s="42" t="s">
        <v>568</v>
      </c>
      <c r="U355" s="34" t="s">
        <v>576</v>
      </c>
      <c r="V355" s="35" t="s">
        <v>41</v>
      </c>
      <c r="W355" s="34">
        <v>1</v>
      </c>
      <c r="X355" s="34"/>
      <c r="Y355" s="34"/>
      <c r="Z355" s="34"/>
      <c r="AA355" s="34"/>
      <c r="AB355" s="44" t="s">
        <v>27</v>
      </c>
      <c r="AC355" s="34" t="s">
        <v>557</v>
      </c>
      <c r="AD355" s="34" t="s">
        <v>19</v>
      </c>
      <c r="AE355" s="34" t="s">
        <v>20</v>
      </c>
      <c r="AF355" s="34" t="s">
        <v>90</v>
      </c>
      <c r="AG355" s="11"/>
    </row>
    <row r="356" spans="1:33" s="12" customFormat="1" ht="21.95" customHeight="1">
      <c r="A356" s="24">
        <v>355</v>
      </c>
      <c r="B356" s="25">
        <v>12</v>
      </c>
      <c r="C356" s="25">
        <v>26303</v>
      </c>
      <c r="D356" s="25" t="s">
        <v>918</v>
      </c>
      <c r="E356" s="144"/>
      <c r="F356" s="21" t="s">
        <v>917</v>
      </c>
      <c r="G356" s="21" t="e">
        <f>VLOOKUP(P356,'CO F3'!$C$2:$M$108,7,FALSE)</f>
        <v>#N/A</v>
      </c>
      <c r="H356" s="21" t="e">
        <f>VLOOKUP(Q356,'CO F3'!$C$2:$M$108,7,FALSE)</f>
        <v>#N/A</v>
      </c>
      <c r="I356" s="25" t="s">
        <v>697</v>
      </c>
      <c r="J356" s="26"/>
      <c r="K356" s="26"/>
      <c r="L356" s="26"/>
      <c r="M356" s="26" t="s">
        <v>13</v>
      </c>
      <c r="N356" s="26"/>
      <c r="O356" s="26"/>
      <c r="P356" s="25">
        <v>7703072426</v>
      </c>
      <c r="Q356" s="25" t="s">
        <v>849</v>
      </c>
      <c r="R356" s="41" t="s">
        <v>849</v>
      </c>
      <c r="S356" s="41" t="s">
        <v>556</v>
      </c>
      <c r="T356" s="41" t="s">
        <v>575</v>
      </c>
      <c r="U356" s="27" t="s">
        <v>57</v>
      </c>
      <c r="V356" s="15" t="s">
        <v>29</v>
      </c>
      <c r="W356" s="27">
        <v>2</v>
      </c>
      <c r="X356" s="27"/>
      <c r="Y356" s="27"/>
      <c r="Z356" s="27"/>
      <c r="AA356" s="27">
        <v>8.0000000000000002E-3</v>
      </c>
      <c r="AB356" s="38" t="s">
        <v>30</v>
      </c>
      <c r="AC356" s="27" t="s">
        <v>557</v>
      </c>
      <c r="AD356" s="27" t="s">
        <v>19</v>
      </c>
      <c r="AE356" s="27" t="s">
        <v>20</v>
      </c>
      <c r="AF356" s="27" t="s">
        <v>90</v>
      </c>
      <c r="AG356" s="11"/>
    </row>
    <row r="357" spans="1:33" s="12" customFormat="1" ht="21.95" customHeight="1">
      <c r="A357" s="31">
        <v>356</v>
      </c>
      <c r="B357" s="32">
        <v>12</v>
      </c>
      <c r="C357" s="32">
        <v>26303</v>
      </c>
      <c r="D357" s="32" t="s">
        <v>918</v>
      </c>
      <c r="E357" s="145"/>
      <c r="F357" s="133" t="s">
        <v>917</v>
      </c>
      <c r="G357" s="21" t="e">
        <f>VLOOKUP(P357,'CO F3'!$C$2:$M$108,7,FALSE)</f>
        <v>#N/A</v>
      </c>
      <c r="H357" s="21" t="e">
        <f>VLOOKUP(Q357,'CO F3'!$C$2:$M$108,7,FALSE)</f>
        <v>#N/A</v>
      </c>
      <c r="I357" s="32" t="s">
        <v>697</v>
      </c>
      <c r="J357" s="33"/>
      <c r="K357" s="33"/>
      <c r="L357" s="33"/>
      <c r="M357" s="33" t="s">
        <v>13</v>
      </c>
      <c r="N357" s="33"/>
      <c r="O357" s="33"/>
      <c r="P357" s="32" t="s">
        <v>577</v>
      </c>
      <c r="Q357" s="32" t="s">
        <v>849</v>
      </c>
      <c r="R357" s="42" t="s">
        <v>849</v>
      </c>
      <c r="S357" s="42" t="s">
        <v>556</v>
      </c>
      <c r="T357" s="42" t="s">
        <v>575</v>
      </c>
      <c r="U357" s="34" t="s">
        <v>578</v>
      </c>
      <c r="V357" s="35" t="s">
        <v>41</v>
      </c>
      <c r="W357" s="34">
        <v>1</v>
      </c>
      <c r="X357" s="34"/>
      <c r="Y357" s="34"/>
      <c r="Z357" s="34"/>
      <c r="AA357" s="34"/>
      <c r="AB357" s="44" t="s">
        <v>27</v>
      </c>
      <c r="AC357" s="34" t="s">
        <v>557</v>
      </c>
      <c r="AD357" s="34" t="s">
        <v>19</v>
      </c>
      <c r="AE357" s="34" t="s">
        <v>20</v>
      </c>
      <c r="AF357" s="34" t="s">
        <v>90</v>
      </c>
      <c r="AG357" s="11"/>
    </row>
    <row r="358" spans="1:33" s="12" customFormat="1" ht="21.95" customHeight="1">
      <c r="A358" s="24">
        <v>357</v>
      </c>
      <c r="B358" s="25">
        <v>12</v>
      </c>
      <c r="C358" s="25">
        <v>26303</v>
      </c>
      <c r="D358" s="25" t="s">
        <v>918</v>
      </c>
      <c r="E358" s="144"/>
      <c r="F358" s="21" t="s">
        <v>917</v>
      </c>
      <c r="G358" s="21" t="e">
        <f>VLOOKUP(P358,'CO F3'!$C$2:$M$108,7,FALSE)</f>
        <v>#N/A</v>
      </c>
      <c r="H358" s="21" t="e">
        <f>VLOOKUP(Q358,'CO F3'!$C$2:$M$108,7,FALSE)</f>
        <v>#N/A</v>
      </c>
      <c r="I358" s="25" t="s">
        <v>697</v>
      </c>
      <c r="J358" s="26"/>
      <c r="K358" s="26"/>
      <c r="L358" s="26"/>
      <c r="M358" s="26"/>
      <c r="N358" s="26" t="s">
        <v>13</v>
      </c>
      <c r="O358" s="26"/>
      <c r="P358" s="25">
        <v>7703011306</v>
      </c>
      <c r="Q358" s="25" t="s">
        <v>849</v>
      </c>
      <c r="R358" s="41" t="s">
        <v>849</v>
      </c>
      <c r="S358" s="41" t="s">
        <v>556</v>
      </c>
      <c r="T358" s="41" t="s">
        <v>577</v>
      </c>
      <c r="U358" s="27" t="s">
        <v>579</v>
      </c>
      <c r="V358" s="15" t="s">
        <v>29</v>
      </c>
      <c r="W358" s="27">
        <v>7</v>
      </c>
      <c r="X358" s="27"/>
      <c r="Y358" s="27"/>
      <c r="Z358" s="27"/>
      <c r="AA358" s="27">
        <v>4.9000000000000002E-2</v>
      </c>
      <c r="AB358" s="38" t="s">
        <v>30</v>
      </c>
      <c r="AC358" s="27" t="s">
        <v>557</v>
      </c>
      <c r="AD358" s="27" t="s">
        <v>19</v>
      </c>
      <c r="AE358" s="27" t="s">
        <v>20</v>
      </c>
      <c r="AF358" s="27" t="s">
        <v>90</v>
      </c>
      <c r="AG358" s="11"/>
    </row>
    <row r="359" spans="1:33" s="12" customFormat="1" ht="21.95" customHeight="1">
      <c r="A359" s="16">
        <v>358</v>
      </c>
      <c r="B359" s="17">
        <v>12</v>
      </c>
      <c r="C359" s="17">
        <v>26303</v>
      </c>
      <c r="D359" s="17" t="s">
        <v>918</v>
      </c>
      <c r="E359" s="143"/>
      <c r="F359" s="133" t="s">
        <v>917</v>
      </c>
      <c r="G359" s="21" t="e">
        <f>VLOOKUP(P359,'CO F3'!$C$2:$M$108,7,FALSE)</f>
        <v>#N/A</v>
      </c>
      <c r="H359" s="21" t="e">
        <f>VLOOKUP(Q359,'CO F3'!$C$2:$M$108,7,FALSE)</f>
        <v>#N/A</v>
      </c>
      <c r="I359" s="17" t="s">
        <v>697</v>
      </c>
      <c r="J359" s="18"/>
      <c r="K359" s="18"/>
      <c r="L359" s="18"/>
      <c r="M359" s="18"/>
      <c r="N359" s="18" t="s">
        <v>13</v>
      </c>
      <c r="O359" s="18"/>
      <c r="P359" s="17" t="s">
        <v>580</v>
      </c>
      <c r="Q359" s="17" t="s">
        <v>861</v>
      </c>
      <c r="R359" s="40" t="s">
        <v>847</v>
      </c>
      <c r="S359" s="40" t="s">
        <v>556</v>
      </c>
      <c r="T359" s="40" t="s">
        <v>577</v>
      </c>
      <c r="U359" s="19" t="s">
        <v>581</v>
      </c>
      <c r="V359" s="13" t="s">
        <v>24</v>
      </c>
      <c r="W359" s="19">
        <v>1</v>
      </c>
      <c r="X359" s="19" t="s">
        <v>582</v>
      </c>
      <c r="Y359" s="19" t="s">
        <v>61</v>
      </c>
      <c r="Z359" s="19">
        <v>1.8</v>
      </c>
      <c r="AA359" s="19">
        <v>2.94</v>
      </c>
      <c r="AB359" s="44" t="s">
        <v>27</v>
      </c>
      <c r="AC359" s="19" t="s">
        <v>557</v>
      </c>
      <c r="AD359" s="19" t="s">
        <v>19</v>
      </c>
      <c r="AE359" s="19" t="s">
        <v>20</v>
      </c>
      <c r="AF359" s="19" t="s">
        <v>90</v>
      </c>
      <c r="AG359" s="11"/>
    </row>
    <row r="360" spans="1:33" s="12" customFormat="1" ht="21.95" customHeight="1">
      <c r="A360" s="31">
        <v>359</v>
      </c>
      <c r="B360" s="32">
        <v>12</v>
      </c>
      <c r="C360" s="32">
        <v>26303</v>
      </c>
      <c r="D360" s="32" t="s">
        <v>918</v>
      </c>
      <c r="E360" s="145"/>
      <c r="F360" s="21" t="s">
        <v>917</v>
      </c>
      <c r="G360" s="21" t="e">
        <f>VLOOKUP(P360,'CO F3'!$C$2:$M$108,7,FALSE)</f>
        <v>#N/A</v>
      </c>
      <c r="H360" s="21" t="e">
        <f>VLOOKUP(Q360,'CO F3'!$C$2:$M$108,7,FALSE)</f>
        <v>#N/A</v>
      </c>
      <c r="I360" s="32" t="s">
        <v>697</v>
      </c>
      <c r="J360" s="33"/>
      <c r="K360" s="33"/>
      <c r="L360" s="33"/>
      <c r="M360" s="33" t="s">
        <v>13</v>
      </c>
      <c r="N360" s="33"/>
      <c r="O360" s="33"/>
      <c r="P360" s="139" t="s">
        <v>811</v>
      </c>
      <c r="Q360" s="32" t="s">
        <v>849</v>
      </c>
      <c r="R360" s="42" t="s">
        <v>849</v>
      </c>
      <c r="S360" s="42" t="s">
        <v>556</v>
      </c>
      <c r="T360" s="42" t="s">
        <v>575</v>
      </c>
      <c r="U360" s="34" t="s">
        <v>583</v>
      </c>
      <c r="V360" s="35" t="s">
        <v>41</v>
      </c>
      <c r="W360" s="34">
        <v>1</v>
      </c>
      <c r="X360" s="34"/>
      <c r="Y360" s="34"/>
      <c r="Z360" s="34"/>
      <c r="AA360" s="34"/>
      <c r="AB360" s="38" t="s">
        <v>30</v>
      </c>
      <c r="AC360" s="34" t="s">
        <v>557</v>
      </c>
      <c r="AD360" s="34" t="s">
        <v>19</v>
      </c>
      <c r="AE360" s="34" t="s">
        <v>20</v>
      </c>
      <c r="AF360" s="34" t="s">
        <v>90</v>
      </c>
      <c r="AG360" s="11"/>
    </row>
    <row r="361" spans="1:33" s="12" customFormat="1" ht="21.95" customHeight="1">
      <c r="A361" s="24">
        <v>360</v>
      </c>
      <c r="B361" s="25">
        <v>12</v>
      </c>
      <c r="C361" s="25">
        <v>26303</v>
      </c>
      <c r="D361" s="25" t="s">
        <v>918</v>
      </c>
      <c r="E361" s="144"/>
      <c r="F361" s="21" t="s">
        <v>917</v>
      </c>
      <c r="G361" s="21" t="e">
        <f>VLOOKUP(P361,'CO F3'!$C$2:$M$108,7,FALSE)</f>
        <v>#N/A</v>
      </c>
      <c r="H361" s="21" t="e">
        <f>VLOOKUP(Q361,'CO F3'!$C$2:$M$108,7,FALSE)</f>
        <v>#N/A</v>
      </c>
      <c r="I361" s="25" t="s">
        <v>697</v>
      </c>
      <c r="J361" s="26"/>
      <c r="K361" s="26"/>
      <c r="L361" s="26"/>
      <c r="M361" s="26"/>
      <c r="N361" s="26" t="s">
        <v>13</v>
      </c>
      <c r="O361" s="26"/>
      <c r="P361" s="25">
        <v>7703042095</v>
      </c>
      <c r="Q361" s="25" t="s">
        <v>867</v>
      </c>
      <c r="R361" s="41" t="s">
        <v>850</v>
      </c>
      <c r="S361" s="41" t="s">
        <v>556</v>
      </c>
      <c r="T361" s="140" t="s">
        <v>811</v>
      </c>
      <c r="U361" s="27" t="s">
        <v>584</v>
      </c>
      <c r="V361" s="15" t="s">
        <v>29</v>
      </c>
      <c r="W361" s="27">
        <v>1</v>
      </c>
      <c r="X361" s="27"/>
      <c r="Y361" s="27"/>
      <c r="Z361" s="27"/>
      <c r="AA361" s="27">
        <v>8.0000000000000002E-3</v>
      </c>
      <c r="AB361" s="38" t="s">
        <v>30</v>
      </c>
      <c r="AC361" s="27" t="s">
        <v>557</v>
      </c>
      <c r="AD361" s="27" t="s">
        <v>19</v>
      </c>
      <c r="AE361" s="27" t="s">
        <v>20</v>
      </c>
      <c r="AF361" s="27" t="s">
        <v>90</v>
      </c>
      <c r="AG361" s="11"/>
    </row>
    <row r="362" spans="1:33" s="12" customFormat="1" ht="21.95" customHeight="1">
      <c r="A362" s="16">
        <v>361</v>
      </c>
      <c r="B362" s="17">
        <v>12</v>
      </c>
      <c r="C362" s="17">
        <v>26303</v>
      </c>
      <c r="D362" s="17" t="s">
        <v>918</v>
      </c>
      <c r="E362" s="143"/>
      <c r="F362" s="21" t="s">
        <v>917</v>
      </c>
      <c r="G362" s="21" t="e">
        <f>VLOOKUP(P362,'CO F3'!$C$2:$M$108,7,FALSE)</f>
        <v>#N/A</v>
      </c>
      <c r="H362" s="21" t="e">
        <f>VLOOKUP(Q362,'CO F3'!$C$2:$M$108,7,FALSE)</f>
        <v>#N/A</v>
      </c>
      <c r="I362" s="17" t="s">
        <v>697</v>
      </c>
      <c r="J362" s="18"/>
      <c r="K362" s="18"/>
      <c r="L362" s="18"/>
      <c r="M362" s="18"/>
      <c r="N362" s="18" t="s">
        <v>13</v>
      </c>
      <c r="O362" s="18"/>
      <c r="P362" s="17" t="s">
        <v>812</v>
      </c>
      <c r="Q362" s="17" t="s">
        <v>864</v>
      </c>
      <c r="R362" s="40" t="s">
        <v>848</v>
      </c>
      <c r="S362" s="40" t="s">
        <v>556</v>
      </c>
      <c r="T362" s="140" t="s">
        <v>811</v>
      </c>
      <c r="U362" s="19" t="s">
        <v>586</v>
      </c>
      <c r="V362" s="13" t="s">
        <v>24</v>
      </c>
      <c r="W362" s="19">
        <v>1</v>
      </c>
      <c r="X362" s="19" t="s">
        <v>199</v>
      </c>
      <c r="Y362" s="19" t="s">
        <v>390</v>
      </c>
      <c r="Z362" s="19">
        <v>1.18</v>
      </c>
      <c r="AA362" s="19">
        <v>1.2</v>
      </c>
      <c r="AB362" s="38" t="s">
        <v>30</v>
      </c>
      <c r="AC362" s="19" t="s">
        <v>557</v>
      </c>
      <c r="AD362" s="19" t="s">
        <v>19</v>
      </c>
      <c r="AE362" s="19" t="s">
        <v>20</v>
      </c>
      <c r="AF362" s="19" t="s">
        <v>90</v>
      </c>
      <c r="AG362" s="11"/>
    </row>
    <row r="363" spans="1:33" s="12" customFormat="1" ht="21.95" customHeight="1">
      <c r="A363" s="31">
        <v>362</v>
      </c>
      <c r="B363" s="32">
        <v>12</v>
      </c>
      <c r="C363" s="32">
        <v>26303</v>
      </c>
      <c r="D363" s="32" t="s">
        <v>918</v>
      </c>
      <c r="E363" s="145"/>
      <c r="F363" s="21" t="s">
        <v>878</v>
      </c>
      <c r="G363" s="21" t="str">
        <f>VLOOKUP(P363,'CO F3'!$C$2:$M$108,7,FALSE)</f>
        <v>POLISTAMPO INDUSTRIA METALUR Brasil</v>
      </c>
      <c r="H363" s="21" t="e">
        <f>VLOOKUP(Q363,'CO F3'!$C$2:$M$108,7,FALSE)</f>
        <v>#N/A</v>
      </c>
      <c r="I363" s="32" t="s">
        <v>697</v>
      </c>
      <c r="J363" s="33"/>
      <c r="K363" s="33" t="s">
        <v>13</v>
      </c>
      <c r="L363" s="33"/>
      <c r="M363" s="33"/>
      <c r="N363" s="33"/>
      <c r="O363" s="33"/>
      <c r="P363" s="32" t="s">
        <v>587</v>
      </c>
      <c r="Q363" s="32" t="s">
        <v>849</v>
      </c>
      <c r="R363" s="42" t="s">
        <v>849</v>
      </c>
      <c r="S363" s="42" t="s">
        <v>556</v>
      </c>
      <c r="T363" s="42" t="s">
        <v>555</v>
      </c>
      <c r="U363" s="34" t="s">
        <v>588</v>
      </c>
      <c r="V363" s="35" t="s">
        <v>41</v>
      </c>
      <c r="W363" s="34">
        <v>1</v>
      </c>
      <c r="X363" s="34"/>
      <c r="Y363" s="34"/>
      <c r="Z363" s="34"/>
      <c r="AA363" s="34"/>
      <c r="AB363" s="38" t="s">
        <v>30</v>
      </c>
      <c r="AC363" s="34" t="s">
        <v>557</v>
      </c>
      <c r="AD363" s="34" t="s">
        <v>19</v>
      </c>
      <c r="AE363" s="34" t="s">
        <v>20</v>
      </c>
      <c r="AF363" s="34" t="s">
        <v>90</v>
      </c>
      <c r="AG363" s="11"/>
    </row>
    <row r="364" spans="1:33" s="12" customFormat="1" ht="21.95" customHeight="1">
      <c r="A364" s="24">
        <v>363</v>
      </c>
      <c r="B364" s="25">
        <v>12</v>
      </c>
      <c r="C364" s="25">
        <v>26303</v>
      </c>
      <c r="D364" s="25" t="s">
        <v>918</v>
      </c>
      <c r="E364" s="144"/>
      <c r="F364" s="21" t="s">
        <v>878</v>
      </c>
      <c r="G364" s="21" t="e">
        <f>VLOOKUP(P364,'CO F3'!$C$2:$M$108,7,FALSE)</f>
        <v>#N/A</v>
      </c>
      <c r="H364" s="21" t="e">
        <f>VLOOKUP(Q364,'CO F3'!$C$2:$M$108,7,FALSE)</f>
        <v>#N/A</v>
      </c>
      <c r="I364" s="25" t="s">
        <v>697</v>
      </c>
      <c r="J364" s="26"/>
      <c r="K364" s="26"/>
      <c r="L364" s="26" t="s">
        <v>13</v>
      </c>
      <c r="M364" s="26"/>
      <c r="N364" s="26"/>
      <c r="O364" s="26"/>
      <c r="P364" s="25">
        <v>7703611003</v>
      </c>
      <c r="Q364" s="25" t="s">
        <v>866</v>
      </c>
      <c r="R364" s="41" t="s">
        <v>853</v>
      </c>
      <c r="S364" s="41" t="s">
        <v>556</v>
      </c>
      <c r="T364" s="41" t="s">
        <v>587</v>
      </c>
      <c r="U364" s="27" t="s">
        <v>589</v>
      </c>
      <c r="V364" s="15" t="s">
        <v>29</v>
      </c>
      <c r="W364" s="27">
        <v>4</v>
      </c>
      <c r="X364" s="27"/>
      <c r="Y364" s="27"/>
      <c r="Z364" s="27">
        <v>3</v>
      </c>
      <c r="AA364" s="27">
        <v>2.1999999999999999E-2</v>
      </c>
      <c r="AB364" s="38" t="s">
        <v>30</v>
      </c>
      <c r="AC364" s="27" t="s">
        <v>557</v>
      </c>
      <c r="AD364" s="27" t="s">
        <v>19</v>
      </c>
      <c r="AE364" s="27" t="s">
        <v>20</v>
      </c>
      <c r="AF364" s="27" t="s">
        <v>90</v>
      </c>
      <c r="AG364" s="11"/>
    </row>
    <row r="365" spans="1:33" s="12" customFormat="1" ht="21.95" customHeight="1">
      <c r="A365" s="16">
        <v>364</v>
      </c>
      <c r="B365" s="17">
        <v>12</v>
      </c>
      <c r="C365" s="17">
        <v>26303</v>
      </c>
      <c r="D365" s="17" t="s">
        <v>918</v>
      </c>
      <c r="E365" s="143"/>
      <c r="F365" s="21" t="s">
        <v>878</v>
      </c>
      <c r="G365" s="21" t="e">
        <f>VLOOKUP(P365,'CO F3'!$C$2:$M$108,7,FALSE)</f>
        <v>#N/A</v>
      </c>
      <c r="H365" s="21" t="e">
        <f>VLOOKUP(Q365,'CO F3'!$C$2:$M$108,7,FALSE)</f>
        <v>#N/A</v>
      </c>
      <c r="I365" s="17" t="s">
        <v>697</v>
      </c>
      <c r="J365" s="18"/>
      <c r="K365" s="18"/>
      <c r="L365" s="18" t="s">
        <v>13</v>
      </c>
      <c r="M365" s="18"/>
      <c r="N365" s="18"/>
      <c r="O365" s="18"/>
      <c r="P365" s="17" t="s">
        <v>590</v>
      </c>
      <c r="Q365" s="17" t="s">
        <v>861</v>
      </c>
      <c r="R365" s="40" t="s">
        <v>847</v>
      </c>
      <c r="S365" s="40" t="s">
        <v>556</v>
      </c>
      <c r="T365" s="40" t="s">
        <v>587</v>
      </c>
      <c r="U365" s="19" t="s">
        <v>591</v>
      </c>
      <c r="V365" s="13" t="s">
        <v>24</v>
      </c>
      <c r="W365" s="19">
        <v>1</v>
      </c>
      <c r="X365" s="19" t="s">
        <v>141</v>
      </c>
      <c r="Y365" s="19" t="s">
        <v>249</v>
      </c>
      <c r="Z365" s="19">
        <v>1.2</v>
      </c>
      <c r="AA365" s="19">
        <v>0.76</v>
      </c>
      <c r="AB365" s="38" t="s">
        <v>30</v>
      </c>
      <c r="AC365" s="19" t="s">
        <v>557</v>
      </c>
      <c r="AD365" s="19" t="s">
        <v>19</v>
      </c>
      <c r="AE365" s="19" t="s">
        <v>20</v>
      </c>
      <c r="AF365" s="19" t="s">
        <v>90</v>
      </c>
      <c r="AG365" s="11"/>
    </row>
    <row r="366" spans="1:33" s="12" customFormat="1" ht="21.95" customHeight="1">
      <c r="A366" s="16">
        <v>365</v>
      </c>
      <c r="B366" s="17">
        <v>12</v>
      </c>
      <c r="C366" s="17">
        <v>26303</v>
      </c>
      <c r="D366" s="17" t="s">
        <v>918</v>
      </c>
      <c r="E366" s="143"/>
      <c r="F366" s="21" t="s">
        <v>878</v>
      </c>
      <c r="G366" s="21" t="e">
        <f>VLOOKUP(P366,'CO F3'!$C$2:$M$108,7,FALSE)</f>
        <v>#N/A</v>
      </c>
      <c r="H366" s="21" t="e">
        <f>VLOOKUP(Q366,'CO F3'!$C$2:$M$108,7,FALSE)</f>
        <v>#N/A</v>
      </c>
      <c r="I366" s="17" t="s">
        <v>697</v>
      </c>
      <c r="J366" s="18"/>
      <c r="K366" s="18"/>
      <c r="L366" s="18" t="s">
        <v>13</v>
      </c>
      <c r="M366" s="18"/>
      <c r="N366" s="18"/>
      <c r="O366" s="18"/>
      <c r="P366" s="17" t="s">
        <v>592</v>
      </c>
      <c r="Q366" s="17" t="s">
        <v>861</v>
      </c>
      <c r="R366" s="40" t="s">
        <v>860</v>
      </c>
      <c r="S366" s="40" t="s">
        <v>556</v>
      </c>
      <c r="T366" s="40" t="s">
        <v>587</v>
      </c>
      <c r="U366" s="19" t="s">
        <v>593</v>
      </c>
      <c r="V366" s="13" t="s">
        <v>24</v>
      </c>
      <c r="W366" s="19">
        <v>1</v>
      </c>
      <c r="X366" s="19" t="s">
        <v>141</v>
      </c>
      <c r="Y366" s="19" t="s">
        <v>249</v>
      </c>
      <c r="Z366" s="19">
        <v>1.5</v>
      </c>
      <c r="AA366" s="19">
        <v>0.02</v>
      </c>
      <c r="AB366" s="38" t="s">
        <v>30</v>
      </c>
      <c r="AC366" s="19" t="s">
        <v>557</v>
      </c>
      <c r="AD366" s="19" t="s">
        <v>19</v>
      </c>
      <c r="AE366" s="19" t="s">
        <v>20</v>
      </c>
      <c r="AF366" s="19" t="s">
        <v>90</v>
      </c>
      <c r="AG366" s="11"/>
    </row>
    <row r="367" spans="1:33" s="12" customFormat="1" ht="21.95" customHeight="1">
      <c r="A367" s="31">
        <v>366</v>
      </c>
      <c r="B367" s="32">
        <v>12</v>
      </c>
      <c r="C367" s="32">
        <v>26303</v>
      </c>
      <c r="D367" s="32" t="s">
        <v>918</v>
      </c>
      <c r="E367" s="145"/>
      <c r="F367" s="21" t="s">
        <v>918</v>
      </c>
      <c r="G367" s="21" t="str">
        <f>VLOOKUP(P367,'CO F3'!$C$2:$M$108,7,FALSE)</f>
        <v>FUMISCOR</v>
      </c>
      <c r="H367" s="21" t="e">
        <f>VLOOKUP(Q367,'CO F3'!$C$2:$M$108,7,FALSE)</f>
        <v>#N/A</v>
      </c>
      <c r="I367" s="32" t="s">
        <v>697</v>
      </c>
      <c r="J367" s="33"/>
      <c r="K367" s="33" t="s">
        <v>13</v>
      </c>
      <c r="L367" s="33"/>
      <c r="M367" s="33"/>
      <c r="N367" s="33"/>
      <c r="O367" s="33"/>
      <c r="P367" s="32" t="s">
        <v>594</v>
      </c>
      <c r="Q367" s="32" t="s">
        <v>849</v>
      </c>
      <c r="R367" s="42" t="s">
        <v>849</v>
      </c>
      <c r="S367" s="42" t="s">
        <v>556</v>
      </c>
      <c r="T367" s="42" t="s">
        <v>555</v>
      </c>
      <c r="U367" s="34" t="s">
        <v>595</v>
      </c>
      <c r="V367" s="35" t="s">
        <v>41</v>
      </c>
      <c r="W367" s="34">
        <v>1</v>
      </c>
      <c r="X367" s="34"/>
      <c r="Y367" s="34"/>
      <c r="Z367" s="34"/>
      <c r="AA367" s="34">
        <v>0.96</v>
      </c>
      <c r="AB367" s="38" t="s">
        <v>30</v>
      </c>
      <c r="AC367" s="34" t="s">
        <v>557</v>
      </c>
      <c r="AD367" s="34" t="s">
        <v>19</v>
      </c>
      <c r="AE367" s="34" t="s">
        <v>20</v>
      </c>
      <c r="AF367" s="34" t="s">
        <v>90</v>
      </c>
      <c r="AG367" s="11"/>
    </row>
    <row r="368" spans="1:33" s="12" customFormat="1" ht="21.95" customHeight="1">
      <c r="A368" s="16">
        <v>367</v>
      </c>
      <c r="B368" s="17">
        <v>12</v>
      </c>
      <c r="C368" s="17">
        <v>26303</v>
      </c>
      <c r="D368" s="17" t="s">
        <v>918</v>
      </c>
      <c r="E368" s="143"/>
      <c r="F368" s="21" t="s">
        <v>918</v>
      </c>
      <c r="G368" s="21" t="e">
        <f>VLOOKUP(P368,'CO F3'!$C$2:$M$108,7,FALSE)</f>
        <v>#N/A</v>
      </c>
      <c r="H368" s="21" t="e">
        <f>VLOOKUP(Q368,'CO F3'!$C$2:$M$108,7,FALSE)</f>
        <v>#N/A</v>
      </c>
      <c r="I368" s="17" t="s">
        <v>697</v>
      </c>
      <c r="J368" s="18"/>
      <c r="K368" s="18"/>
      <c r="L368" s="18" t="s">
        <v>13</v>
      </c>
      <c r="M368" s="18"/>
      <c r="N368" s="18"/>
      <c r="O368" s="18"/>
      <c r="P368" s="17" t="s">
        <v>596</v>
      </c>
      <c r="Q368" s="17" t="s">
        <v>861</v>
      </c>
      <c r="R368" s="40" t="s">
        <v>852</v>
      </c>
      <c r="S368" s="40" t="s">
        <v>556</v>
      </c>
      <c r="T368" s="40" t="s">
        <v>594</v>
      </c>
      <c r="U368" s="19" t="s">
        <v>597</v>
      </c>
      <c r="V368" s="13" t="s">
        <v>24</v>
      </c>
      <c r="W368" s="19">
        <v>1</v>
      </c>
      <c r="X368" s="19" t="s">
        <v>141</v>
      </c>
      <c r="Y368" s="19" t="s">
        <v>194</v>
      </c>
      <c r="Z368" s="19">
        <v>1.5</v>
      </c>
      <c r="AA368" s="19">
        <v>0.87</v>
      </c>
      <c r="AB368" s="38" t="s">
        <v>30</v>
      </c>
      <c r="AC368" s="19" t="s">
        <v>557</v>
      </c>
      <c r="AD368" s="19" t="s">
        <v>19</v>
      </c>
      <c r="AE368" s="19" t="s">
        <v>20</v>
      </c>
      <c r="AF368" s="19" t="s">
        <v>90</v>
      </c>
      <c r="AG368" s="11"/>
    </row>
    <row r="369" spans="1:33" s="12" customFormat="1" ht="21.95" customHeight="1">
      <c r="A369" s="16">
        <v>368</v>
      </c>
      <c r="B369" s="17">
        <v>12</v>
      </c>
      <c r="C369" s="17">
        <v>26303</v>
      </c>
      <c r="D369" s="17" t="s">
        <v>918</v>
      </c>
      <c r="E369" s="143"/>
      <c r="F369" s="21" t="s">
        <v>918</v>
      </c>
      <c r="G369" s="21" t="e">
        <f>VLOOKUP(P369,'CO F3'!$C$2:$M$108,7,FALSE)</f>
        <v>#N/A</v>
      </c>
      <c r="H369" s="21" t="e">
        <f>VLOOKUP(Q369,'CO F3'!$C$2:$M$108,7,FALSE)</f>
        <v>#N/A</v>
      </c>
      <c r="I369" s="17" t="s">
        <v>697</v>
      </c>
      <c r="J369" s="18"/>
      <c r="K369" s="18"/>
      <c r="L369" s="18" t="s">
        <v>13</v>
      </c>
      <c r="M369" s="18"/>
      <c r="N369" s="18"/>
      <c r="O369" s="18"/>
      <c r="P369" s="17" t="s">
        <v>598</v>
      </c>
      <c r="Q369" s="17" t="s">
        <v>861</v>
      </c>
      <c r="R369" s="40" t="s">
        <v>851</v>
      </c>
      <c r="S369" s="40" t="s">
        <v>556</v>
      </c>
      <c r="T369" s="40" t="s">
        <v>594</v>
      </c>
      <c r="U369" s="19" t="s">
        <v>599</v>
      </c>
      <c r="V369" s="13" t="s">
        <v>24</v>
      </c>
      <c r="W369" s="19">
        <v>1</v>
      </c>
      <c r="X369" s="19" t="s">
        <v>199</v>
      </c>
      <c r="Y369" s="19" t="s">
        <v>38</v>
      </c>
      <c r="Z369" s="19">
        <v>0.79</v>
      </c>
      <c r="AA369" s="19">
        <v>0.09</v>
      </c>
      <c r="AB369" s="38" t="s">
        <v>30</v>
      </c>
      <c r="AC369" s="19" t="s">
        <v>557</v>
      </c>
      <c r="AD369" s="19" t="s">
        <v>19</v>
      </c>
      <c r="AE369" s="19" t="s">
        <v>20</v>
      </c>
      <c r="AF369" s="19" t="s">
        <v>90</v>
      </c>
      <c r="AG369" s="11"/>
    </row>
    <row r="370" spans="1:33" s="12" customFormat="1" ht="21.95" customHeight="1">
      <c r="A370" s="20">
        <v>369</v>
      </c>
      <c r="B370" s="21">
        <v>12</v>
      </c>
      <c r="C370" s="21">
        <v>26303</v>
      </c>
      <c r="D370" s="21" t="s">
        <v>918</v>
      </c>
      <c r="E370" s="142"/>
      <c r="F370" s="21" t="s">
        <v>918</v>
      </c>
      <c r="G370" s="21" t="s">
        <v>918</v>
      </c>
      <c r="H370" s="21" t="s">
        <v>918</v>
      </c>
      <c r="I370" s="21" t="s">
        <v>697</v>
      </c>
      <c r="J370" s="22" t="s">
        <v>13</v>
      </c>
      <c r="K370" s="22"/>
      <c r="L370" s="22"/>
      <c r="M370" s="22"/>
      <c r="N370" s="22"/>
      <c r="O370" s="22"/>
      <c r="P370" s="21" t="s">
        <v>600</v>
      </c>
      <c r="Q370" s="21" t="s">
        <v>849</v>
      </c>
      <c r="R370" s="39" t="s">
        <v>849</v>
      </c>
      <c r="S370" s="39" t="s">
        <v>601</v>
      </c>
      <c r="T370" s="39"/>
      <c r="U370" s="23" t="s">
        <v>601</v>
      </c>
      <c r="V370" s="14" t="s">
        <v>16</v>
      </c>
      <c r="W370" s="23">
        <v>1</v>
      </c>
      <c r="X370" s="23"/>
      <c r="Y370" s="23"/>
      <c r="Z370" s="23"/>
      <c r="AA370" s="23">
        <v>12.171999999999997</v>
      </c>
      <c r="AB370" s="37" t="s">
        <v>17</v>
      </c>
      <c r="AC370" s="23" t="s">
        <v>602</v>
      </c>
      <c r="AD370" s="23" t="s">
        <v>34</v>
      </c>
      <c r="AE370" s="23" t="s">
        <v>20</v>
      </c>
      <c r="AF370" s="23" t="s">
        <v>90</v>
      </c>
      <c r="AG370" s="11"/>
    </row>
    <row r="371" spans="1:33" s="12" customFormat="1" ht="21.95" customHeight="1">
      <c r="A371" s="24">
        <v>370</v>
      </c>
      <c r="B371" s="25">
        <v>12</v>
      </c>
      <c r="C371" s="25">
        <v>26303</v>
      </c>
      <c r="D371" s="25" t="s">
        <v>918</v>
      </c>
      <c r="E371" s="144"/>
      <c r="F371" s="21" t="s">
        <v>917</v>
      </c>
      <c r="G371" s="21" t="e">
        <f>VLOOKUP(P371,'CO F3'!$C$2:$M$108,7,FALSE)</f>
        <v>#N/A</v>
      </c>
      <c r="H371" s="21" t="e">
        <f>VLOOKUP(Q371,'CO F3'!$C$2:$M$108,7,FALSE)</f>
        <v>#N/A</v>
      </c>
      <c r="I371" s="25" t="s">
        <v>697</v>
      </c>
      <c r="J371" s="26"/>
      <c r="K371" s="26" t="s">
        <v>13</v>
      </c>
      <c r="L371" s="26"/>
      <c r="M371" s="26"/>
      <c r="N371" s="26"/>
      <c r="O371" s="26"/>
      <c r="P371" s="25">
        <v>7703072426</v>
      </c>
      <c r="Q371" s="25" t="s">
        <v>849</v>
      </c>
      <c r="R371" s="41" t="s">
        <v>849</v>
      </c>
      <c r="S371" s="41" t="s">
        <v>601</v>
      </c>
      <c r="T371" s="41" t="s">
        <v>600</v>
      </c>
      <c r="U371" s="27" t="s">
        <v>57</v>
      </c>
      <c r="V371" s="15" t="s">
        <v>29</v>
      </c>
      <c r="W371" s="27">
        <v>14</v>
      </c>
      <c r="X371" s="27"/>
      <c r="Y371" s="27"/>
      <c r="Z371" s="27"/>
      <c r="AA371" s="27"/>
      <c r="AB371" s="38" t="s">
        <v>30</v>
      </c>
      <c r="AC371" s="27" t="s">
        <v>602</v>
      </c>
      <c r="AD371" s="27" t="s">
        <v>34</v>
      </c>
      <c r="AE371" s="27" t="s">
        <v>20</v>
      </c>
      <c r="AF371" s="27" t="s">
        <v>90</v>
      </c>
      <c r="AG371" s="11"/>
    </row>
    <row r="372" spans="1:33" s="12" customFormat="1" ht="21.95" customHeight="1">
      <c r="A372" s="24">
        <v>371</v>
      </c>
      <c r="B372" s="25">
        <v>12</v>
      </c>
      <c r="C372" s="25">
        <v>26303</v>
      </c>
      <c r="D372" s="25" t="s">
        <v>918</v>
      </c>
      <c r="E372" s="144"/>
      <c r="F372" s="21" t="s">
        <v>917</v>
      </c>
      <c r="G372" s="21" t="e">
        <f>VLOOKUP(P372,'CO F3'!$C$2:$M$108,7,FALSE)</f>
        <v>#N/A</v>
      </c>
      <c r="H372" s="21" t="e">
        <f>VLOOKUP(Q372,'CO F3'!$C$2:$M$108,7,FALSE)</f>
        <v>#N/A</v>
      </c>
      <c r="I372" s="25" t="s">
        <v>697</v>
      </c>
      <c r="J372" s="26"/>
      <c r="K372" s="26" t="s">
        <v>13</v>
      </c>
      <c r="L372" s="26"/>
      <c r="M372" s="26"/>
      <c r="N372" s="26"/>
      <c r="O372" s="26"/>
      <c r="P372" s="25">
        <v>7703611016</v>
      </c>
      <c r="Q372" s="25" t="s">
        <v>849</v>
      </c>
      <c r="R372" s="41" t="s">
        <v>849</v>
      </c>
      <c r="S372" s="41" t="s">
        <v>601</v>
      </c>
      <c r="T372" s="41" t="s">
        <v>600</v>
      </c>
      <c r="U372" s="27" t="s">
        <v>331</v>
      </c>
      <c r="V372" s="15" t="s">
        <v>29</v>
      </c>
      <c r="W372" s="27">
        <v>2</v>
      </c>
      <c r="X372" s="27"/>
      <c r="Y372" s="27"/>
      <c r="Z372" s="27"/>
      <c r="AA372" s="27"/>
      <c r="AB372" s="38" t="s">
        <v>30</v>
      </c>
      <c r="AC372" s="27" t="s">
        <v>602</v>
      </c>
      <c r="AD372" s="27" t="s">
        <v>34</v>
      </c>
      <c r="AE372" s="27" t="s">
        <v>20</v>
      </c>
      <c r="AF372" s="27" t="s">
        <v>90</v>
      </c>
      <c r="AG372" s="11"/>
    </row>
    <row r="373" spans="1:33" s="12" customFormat="1" ht="21.95" customHeight="1">
      <c r="A373" s="16">
        <v>372</v>
      </c>
      <c r="B373" s="17">
        <v>12</v>
      </c>
      <c r="C373" s="17">
        <v>26303</v>
      </c>
      <c r="D373" s="17" t="s">
        <v>918</v>
      </c>
      <c r="E373" s="143"/>
      <c r="F373" s="134" t="s">
        <v>918</v>
      </c>
      <c r="G373" s="21" t="e">
        <f>VLOOKUP(P373,'CO F3'!$C$2:$M$108,7,FALSE)</f>
        <v>#N/A</v>
      </c>
      <c r="H373" s="21" t="e">
        <f>VLOOKUP(Q373,'CO F3'!$C$2:$M$108,7,FALSE)</f>
        <v>#N/A</v>
      </c>
      <c r="I373" s="17" t="s">
        <v>697</v>
      </c>
      <c r="J373" s="18"/>
      <c r="K373" s="18" t="s">
        <v>13</v>
      </c>
      <c r="L373" s="18"/>
      <c r="M373" s="18"/>
      <c r="N373" s="18"/>
      <c r="O373" s="18"/>
      <c r="P373" s="17" t="s">
        <v>560</v>
      </c>
      <c r="Q373" s="17" t="s">
        <v>849</v>
      </c>
      <c r="R373" s="40" t="s">
        <v>849</v>
      </c>
      <c r="S373" s="40" t="s">
        <v>601</v>
      </c>
      <c r="T373" s="40" t="s">
        <v>600</v>
      </c>
      <c r="U373" s="19" t="s">
        <v>561</v>
      </c>
      <c r="V373" s="13" t="s">
        <v>24</v>
      </c>
      <c r="W373" s="19">
        <v>1</v>
      </c>
      <c r="X373" s="19" t="s">
        <v>462</v>
      </c>
      <c r="Y373" s="19"/>
      <c r="Z373" s="19">
        <v>1.55</v>
      </c>
      <c r="AA373" s="19">
        <v>0.73</v>
      </c>
      <c r="AB373" s="44" t="s">
        <v>27</v>
      </c>
      <c r="AC373" s="19" t="s">
        <v>602</v>
      </c>
      <c r="AD373" s="19" t="s">
        <v>34</v>
      </c>
      <c r="AE373" s="19" t="s">
        <v>20</v>
      </c>
      <c r="AF373" s="19" t="s">
        <v>90</v>
      </c>
      <c r="AG373" s="11"/>
    </row>
    <row r="374" spans="1:33" s="12" customFormat="1" ht="21.95" customHeight="1">
      <c r="A374" s="16">
        <v>373</v>
      </c>
      <c r="B374" s="17">
        <v>12</v>
      </c>
      <c r="C374" s="17">
        <v>26303</v>
      </c>
      <c r="D374" s="17" t="s">
        <v>918</v>
      </c>
      <c r="E374" s="143"/>
      <c r="F374" s="21" t="s">
        <v>896</v>
      </c>
      <c r="G374" s="21" t="str">
        <f>VLOOKUP(P374,'CO F3'!$C$2:$M$108,7,FALSE)</f>
        <v>CURITIBA plant</v>
      </c>
      <c r="H374" s="21" t="e">
        <f>VLOOKUP(Q374,'CO F3'!$C$2:$M$108,7,FALSE)</f>
        <v>#N/A</v>
      </c>
      <c r="I374" s="17" t="s">
        <v>697</v>
      </c>
      <c r="J374" s="18"/>
      <c r="K374" s="18" t="s">
        <v>13</v>
      </c>
      <c r="L374" s="18"/>
      <c r="M374" s="18"/>
      <c r="N374" s="18"/>
      <c r="O374" s="18"/>
      <c r="P374" s="17" t="s">
        <v>562</v>
      </c>
      <c r="Q374" s="17" t="s">
        <v>849</v>
      </c>
      <c r="R374" s="40" t="s">
        <v>849</v>
      </c>
      <c r="S374" s="40" t="s">
        <v>601</v>
      </c>
      <c r="T374" s="40" t="s">
        <v>600</v>
      </c>
      <c r="U374" s="19" t="s">
        <v>563</v>
      </c>
      <c r="V374" s="13" t="s">
        <v>24</v>
      </c>
      <c r="W374" s="19">
        <v>1</v>
      </c>
      <c r="X374" s="19" t="s">
        <v>462</v>
      </c>
      <c r="Y374" s="19" t="s">
        <v>38</v>
      </c>
      <c r="Z374" s="19">
        <v>0.78</v>
      </c>
      <c r="AA374" s="19">
        <v>6.29</v>
      </c>
      <c r="AB374" s="38" t="s">
        <v>30</v>
      </c>
      <c r="AC374" s="19" t="s">
        <v>602</v>
      </c>
      <c r="AD374" s="19" t="s">
        <v>34</v>
      </c>
      <c r="AE374" s="19" t="s">
        <v>20</v>
      </c>
      <c r="AF374" s="19" t="s">
        <v>90</v>
      </c>
      <c r="AG374" s="11"/>
    </row>
    <row r="375" spans="1:33" s="12" customFormat="1" ht="21.95" customHeight="1">
      <c r="A375" s="16">
        <v>374</v>
      </c>
      <c r="B375" s="17">
        <v>12</v>
      </c>
      <c r="C375" s="17">
        <v>26303</v>
      </c>
      <c r="D375" s="17" t="s">
        <v>918</v>
      </c>
      <c r="E375" s="143"/>
      <c r="F375" s="21" t="s">
        <v>887</v>
      </c>
      <c r="G375" s="21" t="str">
        <f>VLOOKUP(P375,'CO F3'!$C$2:$M$108,7,FALSE)</f>
        <v>SC SILDVB COM SA</v>
      </c>
      <c r="H375" s="21" t="e">
        <f>VLOOKUP(Q375,'CO F3'!$C$2:$M$108,7,FALSE)</f>
        <v>#N/A</v>
      </c>
      <c r="I375" s="17" t="s">
        <v>697</v>
      </c>
      <c r="J375" s="18"/>
      <c r="K375" s="18" t="s">
        <v>13</v>
      </c>
      <c r="L375" s="18"/>
      <c r="M375" s="18"/>
      <c r="N375" s="18"/>
      <c r="O375" s="18"/>
      <c r="P375" s="17" t="s">
        <v>564</v>
      </c>
      <c r="Q375" s="17" t="s">
        <v>849</v>
      </c>
      <c r="R375" s="40" t="s">
        <v>849</v>
      </c>
      <c r="S375" s="40" t="s">
        <v>601</v>
      </c>
      <c r="T375" s="40" t="s">
        <v>600</v>
      </c>
      <c r="U375" s="19" t="s">
        <v>565</v>
      </c>
      <c r="V375" s="13" t="s">
        <v>24</v>
      </c>
      <c r="W375" s="19">
        <v>1</v>
      </c>
      <c r="X375" s="19" t="s">
        <v>548</v>
      </c>
      <c r="Y375" s="19" t="s">
        <v>194</v>
      </c>
      <c r="Z375" s="19">
        <v>1.17</v>
      </c>
      <c r="AA375" s="19">
        <v>0.6</v>
      </c>
      <c r="AB375" s="38" t="s">
        <v>30</v>
      </c>
      <c r="AC375" s="19" t="s">
        <v>602</v>
      </c>
      <c r="AD375" s="19" t="s">
        <v>34</v>
      </c>
      <c r="AE375" s="19" t="s">
        <v>20</v>
      </c>
      <c r="AF375" s="19" t="s">
        <v>90</v>
      </c>
      <c r="AG375" s="11"/>
    </row>
    <row r="376" spans="1:33" s="12" customFormat="1" ht="21.95" customHeight="1">
      <c r="A376" s="16">
        <v>375</v>
      </c>
      <c r="B376" s="17">
        <v>12</v>
      </c>
      <c r="C376" s="17">
        <v>26303</v>
      </c>
      <c r="D376" s="17" t="s">
        <v>918</v>
      </c>
      <c r="E376" s="143"/>
      <c r="F376" s="21" t="s">
        <v>912</v>
      </c>
      <c r="G376" s="21" t="str">
        <f>VLOOKUP(P376,'CO F3'!$C$2:$M$108,7,FALSE)</f>
        <v>COSKUNOZ MA SRL ROMANIA</v>
      </c>
      <c r="H376" s="21" t="e">
        <f>VLOOKUP(Q376,'CO F3'!$C$2:$M$108,7,FALSE)</f>
        <v>#N/A</v>
      </c>
      <c r="I376" s="17" t="s">
        <v>697</v>
      </c>
      <c r="J376" s="18"/>
      <c r="K376" s="18" t="s">
        <v>13</v>
      </c>
      <c r="L376" s="18"/>
      <c r="M376" s="18"/>
      <c r="N376" s="18"/>
      <c r="O376" s="18"/>
      <c r="P376" s="17" t="s">
        <v>566</v>
      </c>
      <c r="Q376" s="17" t="s">
        <v>849</v>
      </c>
      <c r="R376" s="40" t="s">
        <v>849</v>
      </c>
      <c r="S376" s="40" t="s">
        <v>601</v>
      </c>
      <c r="T376" s="40" t="s">
        <v>600</v>
      </c>
      <c r="U376" s="19" t="s">
        <v>567</v>
      </c>
      <c r="V376" s="13" t="s">
        <v>24</v>
      </c>
      <c r="W376" s="19">
        <v>1</v>
      </c>
      <c r="X376" s="19" t="s">
        <v>548</v>
      </c>
      <c r="Y376" s="19" t="s">
        <v>194</v>
      </c>
      <c r="Z376" s="19">
        <v>1.17</v>
      </c>
      <c r="AA376" s="19">
        <v>0.36</v>
      </c>
      <c r="AB376" s="38" t="s">
        <v>30</v>
      </c>
      <c r="AC376" s="19" t="s">
        <v>602</v>
      </c>
      <c r="AD376" s="19" t="s">
        <v>34</v>
      </c>
      <c r="AE376" s="19" t="s">
        <v>20</v>
      </c>
      <c r="AF376" s="19" t="s">
        <v>90</v>
      </c>
      <c r="AG376" s="11"/>
    </row>
    <row r="377" spans="1:33" s="12" customFormat="1" ht="21.95" customHeight="1">
      <c r="A377" s="16">
        <v>376</v>
      </c>
      <c r="B377" s="17">
        <v>12</v>
      </c>
      <c r="C377" s="17">
        <v>26303</v>
      </c>
      <c r="D377" s="17" t="s">
        <v>918</v>
      </c>
      <c r="E377" s="143"/>
      <c r="F377" s="21" t="s">
        <v>897</v>
      </c>
      <c r="G377" s="21" t="str">
        <f>VLOOKUP(P377,'CO F3'!$C$2:$M$108,7,FALSE)</f>
        <v>MUSA PITESTI ROMANIA</v>
      </c>
      <c r="H377" s="21" t="e">
        <f>VLOOKUP(Q377,'CO F3'!$C$2:$M$108,7,FALSE)</f>
        <v>#N/A</v>
      </c>
      <c r="I377" s="17" t="s">
        <v>697</v>
      </c>
      <c r="J377" s="18"/>
      <c r="K377" s="18" t="s">
        <v>13</v>
      </c>
      <c r="L377" s="18"/>
      <c r="M377" s="18"/>
      <c r="N377" s="18"/>
      <c r="O377" s="18"/>
      <c r="P377" s="17" t="s">
        <v>573</v>
      </c>
      <c r="Q377" s="17" t="s">
        <v>849</v>
      </c>
      <c r="R377" s="40" t="s">
        <v>849</v>
      </c>
      <c r="S377" s="40" t="s">
        <v>601</v>
      </c>
      <c r="T377" s="40" t="s">
        <v>600</v>
      </c>
      <c r="U377" s="19" t="s">
        <v>574</v>
      </c>
      <c r="V377" s="13" t="s">
        <v>24</v>
      </c>
      <c r="W377" s="19">
        <v>1</v>
      </c>
      <c r="X377" s="19" t="s">
        <v>548</v>
      </c>
      <c r="Y377" s="19" t="s">
        <v>194</v>
      </c>
      <c r="Z377" s="19">
        <v>1.17</v>
      </c>
      <c r="AA377" s="19">
        <v>0.23</v>
      </c>
      <c r="AB377" s="38" t="s">
        <v>30</v>
      </c>
      <c r="AC377" s="19" t="s">
        <v>602</v>
      </c>
      <c r="AD377" s="19" t="s">
        <v>34</v>
      </c>
      <c r="AE377" s="19" t="s">
        <v>20</v>
      </c>
      <c r="AF377" s="19" t="s">
        <v>90</v>
      </c>
      <c r="AG377" s="11"/>
    </row>
    <row r="378" spans="1:33" s="12" customFormat="1" ht="21.95" customHeight="1">
      <c r="A378" s="31">
        <v>377</v>
      </c>
      <c r="B378" s="32">
        <v>12</v>
      </c>
      <c r="C378" s="32">
        <v>26303</v>
      </c>
      <c r="D378" s="32" t="s">
        <v>918</v>
      </c>
      <c r="E378" s="145"/>
      <c r="F378" s="21" t="s">
        <v>918</v>
      </c>
      <c r="G378" s="21" t="e">
        <f>VLOOKUP(P378,'CO F3'!$C$2:$M$108,7,FALSE)</f>
        <v>#N/A</v>
      </c>
      <c r="H378" s="21" t="e">
        <f>VLOOKUP(Q378,'CO F3'!$C$2:$M$108,7,FALSE)</f>
        <v>#N/A</v>
      </c>
      <c r="I378" s="32" t="s">
        <v>697</v>
      </c>
      <c r="J378" s="33"/>
      <c r="K378" s="33" t="s">
        <v>13</v>
      </c>
      <c r="L378" s="33"/>
      <c r="M378" s="33"/>
      <c r="N378" s="33"/>
      <c r="O378" s="33"/>
      <c r="P378" s="133"/>
      <c r="Q378" s="32" t="s">
        <v>849</v>
      </c>
      <c r="R378" s="42" t="s">
        <v>849</v>
      </c>
      <c r="S378" s="42" t="s">
        <v>601</v>
      </c>
      <c r="T378" s="42" t="s">
        <v>600</v>
      </c>
      <c r="U378" s="34" t="s">
        <v>603</v>
      </c>
      <c r="V378" s="35" t="s">
        <v>41</v>
      </c>
      <c r="W378" s="34">
        <v>1</v>
      </c>
      <c r="X378" s="34"/>
      <c r="Y378" s="34"/>
      <c r="Z378" s="34"/>
      <c r="AA378" s="34"/>
      <c r="AB378" s="37" t="s">
        <v>17</v>
      </c>
      <c r="AC378" s="34" t="s">
        <v>602</v>
      </c>
      <c r="AD378" s="34" t="s">
        <v>34</v>
      </c>
      <c r="AE378" s="34" t="s">
        <v>20</v>
      </c>
      <c r="AF378" s="34" t="s">
        <v>90</v>
      </c>
      <c r="AG378" s="11"/>
    </row>
    <row r="379" spans="1:33" s="12" customFormat="1" ht="21.95" customHeight="1">
      <c r="A379" s="119">
        <v>378</v>
      </c>
      <c r="B379" s="120">
        <v>12</v>
      </c>
      <c r="C379" s="120">
        <v>26303</v>
      </c>
      <c r="D379" s="120" t="s">
        <v>918</v>
      </c>
      <c r="E379" s="146"/>
      <c r="F379" s="21" t="s">
        <v>918</v>
      </c>
      <c r="G379" s="21" t="e">
        <f>VLOOKUP(P379,'CO F3'!$C$2:$M$108,7,FALSE)</f>
        <v>#N/A</v>
      </c>
      <c r="H379" s="21" t="e">
        <f>VLOOKUP(Q379,'CO F3'!$C$2:$M$108,7,FALSE)</f>
        <v>#N/A</v>
      </c>
      <c r="I379" s="120" t="s">
        <v>697</v>
      </c>
      <c r="J379" s="121"/>
      <c r="K379" s="121"/>
      <c r="L379" s="121" t="s">
        <v>13</v>
      </c>
      <c r="M379" s="121"/>
      <c r="N379" s="121"/>
      <c r="O379" s="121"/>
      <c r="P379" s="120" t="s">
        <v>604</v>
      </c>
      <c r="Q379" s="120" t="s">
        <v>849</v>
      </c>
      <c r="R379" s="122" t="s">
        <v>849</v>
      </c>
      <c r="S379" s="122" t="s">
        <v>601</v>
      </c>
      <c r="T379" s="138"/>
      <c r="U379" s="123" t="s">
        <v>571</v>
      </c>
      <c r="V379" s="124" t="s">
        <v>24</v>
      </c>
      <c r="W379" s="123">
        <v>1</v>
      </c>
      <c r="X379" s="123" t="s">
        <v>156</v>
      </c>
      <c r="Y379" s="123"/>
      <c r="Z379" s="123" t="s">
        <v>813</v>
      </c>
      <c r="AA379" s="123"/>
      <c r="AB379" s="37" t="s">
        <v>17</v>
      </c>
      <c r="AC379" s="123" t="s">
        <v>602</v>
      </c>
      <c r="AD379" s="123" t="s">
        <v>34</v>
      </c>
      <c r="AE379" s="123" t="s">
        <v>20</v>
      </c>
      <c r="AF379" s="123" t="s">
        <v>90</v>
      </c>
      <c r="AG379" s="11"/>
    </row>
    <row r="380" spans="1:33" s="12" customFormat="1" ht="21.95" customHeight="1">
      <c r="A380" s="16">
        <v>379</v>
      </c>
      <c r="B380" s="17">
        <v>12</v>
      </c>
      <c r="C380" s="17">
        <v>26303</v>
      </c>
      <c r="D380" s="17" t="s">
        <v>918</v>
      </c>
      <c r="E380" s="143"/>
      <c r="F380" s="21" t="s">
        <v>918</v>
      </c>
      <c r="G380" s="21" t="e">
        <f>VLOOKUP(P380,'CO F3'!$C$2:$M$108,7,FALSE)</f>
        <v>#N/A</v>
      </c>
      <c r="H380" s="21" t="e">
        <f>VLOOKUP(Q380,'CO F3'!$C$2:$M$108,7,FALSE)</f>
        <v>#N/A</v>
      </c>
      <c r="I380" s="17" t="s">
        <v>697</v>
      </c>
      <c r="J380" s="18"/>
      <c r="K380" s="18"/>
      <c r="L380" s="18" t="s">
        <v>13</v>
      </c>
      <c r="M380" s="18"/>
      <c r="N380" s="18"/>
      <c r="O380" s="18"/>
      <c r="P380" s="17" t="s">
        <v>558</v>
      </c>
      <c r="Q380" s="17" t="s">
        <v>849</v>
      </c>
      <c r="R380" s="40" t="s">
        <v>849</v>
      </c>
      <c r="S380" s="40" t="s">
        <v>601</v>
      </c>
      <c r="T380" s="138"/>
      <c r="U380" s="19" t="s">
        <v>559</v>
      </c>
      <c r="V380" s="13" t="s">
        <v>24</v>
      </c>
      <c r="W380" s="19">
        <v>1</v>
      </c>
      <c r="X380" s="19" t="s">
        <v>836</v>
      </c>
      <c r="Y380" s="19" t="s">
        <v>134</v>
      </c>
      <c r="Z380" s="19">
        <v>1.1000000000000001</v>
      </c>
      <c r="AA380" s="19">
        <v>0.56000000000000005</v>
      </c>
      <c r="AB380" s="37" t="s">
        <v>17</v>
      </c>
      <c r="AC380" s="19" t="s">
        <v>602</v>
      </c>
      <c r="AD380" s="19" t="s">
        <v>34</v>
      </c>
      <c r="AE380" s="19" t="s">
        <v>20</v>
      </c>
      <c r="AF380" s="19" t="s">
        <v>90</v>
      </c>
      <c r="AG380" s="11"/>
    </row>
    <row r="381" spans="1:33" s="12" customFormat="1" ht="21.95" customHeight="1">
      <c r="A381" s="31">
        <v>380</v>
      </c>
      <c r="B381" s="32">
        <v>12</v>
      </c>
      <c r="C381" s="32">
        <v>26303</v>
      </c>
      <c r="D381" s="32" t="s">
        <v>918</v>
      </c>
      <c r="E381" s="145"/>
      <c r="F381" s="21" t="s">
        <v>918</v>
      </c>
      <c r="G381" s="21" t="e">
        <f>VLOOKUP(P381,'CO F3'!$C$2:$M$108,7,FALSE)</f>
        <v>#N/A</v>
      </c>
      <c r="H381" s="21" t="e">
        <f>VLOOKUP(Q381,'CO F3'!$C$2:$M$108,7,FALSE)</f>
        <v>#N/A</v>
      </c>
      <c r="I381" s="32" t="s">
        <v>697</v>
      </c>
      <c r="J381" s="33"/>
      <c r="K381" s="33" t="s">
        <v>13</v>
      </c>
      <c r="L381" s="33"/>
      <c r="M381" s="33"/>
      <c r="N381" s="33"/>
      <c r="O381" s="33"/>
      <c r="P381" s="32" t="s">
        <v>575</v>
      </c>
      <c r="Q381" s="32" t="s">
        <v>849</v>
      </c>
      <c r="R381" s="42" t="s">
        <v>849</v>
      </c>
      <c r="S381" s="42" t="s">
        <v>601</v>
      </c>
      <c r="T381" s="42" t="s">
        <v>600</v>
      </c>
      <c r="U381" s="34" t="s">
        <v>576</v>
      </c>
      <c r="V381" s="35" t="s">
        <v>41</v>
      </c>
      <c r="W381" s="34">
        <v>1</v>
      </c>
      <c r="X381" s="34"/>
      <c r="Y381" s="34"/>
      <c r="Z381" s="34"/>
      <c r="AA381" s="34"/>
      <c r="AB381" s="44" t="s">
        <v>27</v>
      </c>
      <c r="AC381" s="34" t="s">
        <v>602</v>
      </c>
      <c r="AD381" s="34" t="s">
        <v>34</v>
      </c>
      <c r="AE381" s="34" t="s">
        <v>20</v>
      </c>
      <c r="AF381" s="34" t="s">
        <v>90</v>
      </c>
      <c r="AG381" s="11"/>
    </row>
    <row r="382" spans="1:33" s="12" customFormat="1" ht="21.95" customHeight="1">
      <c r="A382" s="24">
        <v>381</v>
      </c>
      <c r="B382" s="25">
        <v>12</v>
      </c>
      <c r="C382" s="25">
        <v>26303</v>
      </c>
      <c r="D382" s="25" t="s">
        <v>918</v>
      </c>
      <c r="E382" s="144"/>
      <c r="F382" s="21" t="s">
        <v>917</v>
      </c>
      <c r="G382" s="21" t="e">
        <f>VLOOKUP(P382,'CO F3'!$C$2:$M$108,7,FALSE)</f>
        <v>#N/A</v>
      </c>
      <c r="H382" s="21" t="e">
        <f>VLOOKUP(Q382,'CO F3'!$C$2:$M$108,7,FALSE)</f>
        <v>#N/A</v>
      </c>
      <c r="I382" s="25" t="s">
        <v>697</v>
      </c>
      <c r="J382" s="26"/>
      <c r="K382" s="26"/>
      <c r="L382" s="26" t="s">
        <v>13</v>
      </c>
      <c r="M382" s="26"/>
      <c r="N382" s="26"/>
      <c r="O382" s="26"/>
      <c r="P382" s="25">
        <v>7703072426</v>
      </c>
      <c r="Q382" s="25" t="s">
        <v>849</v>
      </c>
      <c r="R382" s="41" t="s">
        <v>849</v>
      </c>
      <c r="S382" s="41" t="s">
        <v>601</v>
      </c>
      <c r="T382" s="41" t="s">
        <v>575</v>
      </c>
      <c r="U382" s="27" t="s">
        <v>57</v>
      </c>
      <c r="V382" s="15" t="s">
        <v>29</v>
      </c>
      <c r="W382" s="27">
        <v>2</v>
      </c>
      <c r="X382" s="27"/>
      <c r="Y382" s="27"/>
      <c r="Z382" s="27"/>
      <c r="AA382" s="27"/>
      <c r="AB382" s="38" t="s">
        <v>30</v>
      </c>
      <c r="AC382" s="27" t="s">
        <v>602</v>
      </c>
      <c r="AD382" s="27" t="s">
        <v>34</v>
      </c>
      <c r="AE382" s="27" t="s">
        <v>20</v>
      </c>
      <c r="AF382" s="27" t="s">
        <v>90</v>
      </c>
      <c r="AG382" s="11"/>
    </row>
    <row r="383" spans="1:33" s="12" customFormat="1" ht="21.95" customHeight="1">
      <c r="A383" s="31">
        <v>382</v>
      </c>
      <c r="B383" s="32">
        <v>12</v>
      </c>
      <c r="C383" s="32">
        <v>26303</v>
      </c>
      <c r="D383" s="32" t="s">
        <v>918</v>
      </c>
      <c r="E383" s="145"/>
      <c r="F383" s="21" t="s">
        <v>918</v>
      </c>
      <c r="G383" s="21" t="e">
        <f>VLOOKUP(P383,'CO F3'!$C$2:$M$108,7,FALSE)</f>
        <v>#N/A</v>
      </c>
      <c r="H383" s="21" t="e">
        <f>VLOOKUP(Q383,'CO F3'!$C$2:$M$108,7,FALSE)</f>
        <v>#N/A</v>
      </c>
      <c r="I383" s="32" t="s">
        <v>697</v>
      </c>
      <c r="J383" s="33"/>
      <c r="K383" s="33"/>
      <c r="L383" s="33" t="s">
        <v>13</v>
      </c>
      <c r="M383" s="33"/>
      <c r="N383" s="33"/>
      <c r="O383" s="33"/>
      <c r="P383" s="32" t="s">
        <v>577</v>
      </c>
      <c r="Q383" s="32" t="s">
        <v>849</v>
      </c>
      <c r="R383" s="42" t="s">
        <v>849</v>
      </c>
      <c r="S383" s="42" t="s">
        <v>601</v>
      </c>
      <c r="T383" s="42" t="s">
        <v>575</v>
      </c>
      <c r="U383" s="34" t="s">
        <v>578</v>
      </c>
      <c r="V383" s="35" t="s">
        <v>41</v>
      </c>
      <c r="W383" s="34">
        <v>1</v>
      </c>
      <c r="X383" s="34"/>
      <c r="Y383" s="34"/>
      <c r="Z383" s="34"/>
      <c r="AA383" s="34"/>
      <c r="AB383" s="44" t="s">
        <v>27</v>
      </c>
      <c r="AC383" s="34" t="s">
        <v>602</v>
      </c>
      <c r="AD383" s="34" t="s">
        <v>34</v>
      </c>
      <c r="AE383" s="34" t="s">
        <v>20</v>
      </c>
      <c r="AF383" s="34" t="s">
        <v>90</v>
      </c>
      <c r="AG383" s="11"/>
    </row>
    <row r="384" spans="1:33" s="12" customFormat="1" ht="21.95" customHeight="1">
      <c r="A384" s="24">
        <v>383</v>
      </c>
      <c r="B384" s="25">
        <v>12</v>
      </c>
      <c r="C384" s="25">
        <v>26303</v>
      </c>
      <c r="D384" s="25" t="s">
        <v>918</v>
      </c>
      <c r="E384" s="144"/>
      <c r="F384" s="21" t="s">
        <v>917</v>
      </c>
      <c r="G384" s="21" t="e">
        <f>VLOOKUP(P384,'CO F3'!$C$2:$M$108,7,FALSE)</f>
        <v>#N/A</v>
      </c>
      <c r="H384" s="21" t="e">
        <f>VLOOKUP(Q384,'CO F3'!$C$2:$M$108,7,FALSE)</f>
        <v>#N/A</v>
      </c>
      <c r="I384" s="25" t="s">
        <v>697</v>
      </c>
      <c r="J384" s="26"/>
      <c r="K384" s="26"/>
      <c r="L384" s="26"/>
      <c r="M384" s="26" t="s">
        <v>13</v>
      </c>
      <c r="N384" s="26"/>
      <c r="O384" s="26"/>
      <c r="P384" s="25">
        <v>7703011306</v>
      </c>
      <c r="Q384" s="25" t="s">
        <v>849</v>
      </c>
      <c r="R384" s="41" t="s">
        <v>849</v>
      </c>
      <c r="S384" s="41" t="s">
        <v>601</v>
      </c>
      <c r="T384" s="41" t="s">
        <v>577</v>
      </c>
      <c r="U384" s="27" t="s">
        <v>579</v>
      </c>
      <c r="V384" s="15" t="s">
        <v>29</v>
      </c>
      <c r="W384" s="27">
        <v>7</v>
      </c>
      <c r="X384" s="27"/>
      <c r="Y384" s="27"/>
      <c r="Z384" s="27"/>
      <c r="AA384" s="27"/>
      <c r="AB384" s="38" t="s">
        <v>30</v>
      </c>
      <c r="AC384" s="27" t="s">
        <v>602</v>
      </c>
      <c r="AD384" s="27" t="s">
        <v>34</v>
      </c>
      <c r="AE384" s="27" t="s">
        <v>20</v>
      </c>
      <c r="AF384" s="27" t="s">
        <v>90</v>
      </c>
      <c r="AG384" s="11"/>
    </row>
    <row r="385" spans="1:33" s="12" customFormat="1" ht="21.95" customHeight="1">
      <c r="A385" s="16">
        <v>384</v>
      </c>
      <c r="B385" s="17">
        <v>12</v>
      </c>
      <c r="C385" s="17">
        <v>26303</v>
      </c>
      <c r="D385" s="17" t="s">
        <v>918</v>
      </c>
      <c r="E385" s="143"/>
      <c r="F385" s="21" t="s">
        <v>918</v>
      </c>
      <c r="G385" s="21" t="e">
        <f>VLOOKUP(P385,'CO F3'!$C$2:$M$108,7,FALSE)</f>
        <v>#N/A</v>
      </c>
      <c r="H385" s="21" t="e">
        <f>VLOOKUP(Q385,'CO F3'!$C$2:$M$108,7,FALSE)</f>
        <v>#N/A</v>
      </c>
      <c r="I385" s="17" t="s">
        <v>697</v>
      </c>
      <c r="J385" s="18"/>
      <c r="K385" s="18"/>
      <c r="L385" s="18"/>
      <c r="M385" s="18" t="s">
        <v>13</v>
      </c>
      <c r="N385" s="18"/>
      <c r="O385" s="18"/>
      <c r="P385" s="17" t="s">
        <v>580</v>
      </c>
      <c r="Q385" s="17" t="s">
        <v>849</v>
      </c>
      <c r="R385" s="40" t="s">
        <v>849</v>
      </c>
      <c r="S385" s="40" t="s">
        <v>601</v>
      </c>
      <c r="T385" s="40" t="s">
        <v>577</v>
      </c>
      <c r="U385" s="19" t="s">
        <v>581</v>
      </c>
      <c r="V385" s="13" t="s">
        <v>24</v>
      </c>
      <c r="W385" s="19">
        <v>1</v>
      </c>
      <c r="X385" s="19" t="s">
        <v>582</v>
      </c>
      <c r="Y385" s="19" t="s">
        <v>61</v>
      </c>
      <c r="Z385" s="19" t="s">
        <v>814</v>
      </c>
      <c r="AA385" s="19" t="s">
        <v>605</v>
      </c>
      <c r="AB385" s="44" t="s">
        <v>27</v>
      </c>
      <c r="AC385" s="19" t="s">
        <v>602</v>
      </c>
      <c r="AD385" s="19" t="s">
        <v>34</v>
      </c>
      <c r="AE385" s="19" t="s">
        <v>20</v>
      </c>
      <c r="AF385" s="19" t="s">
        <v>90</v>
      </c>
      <c r="AG385" s="11"/>
    </row>
    <row r="386" spans="1:33" s="12" customFormat="1" ht="21.95" customHeight="1">
      <c r="A386" s="31">
        <v>385</v>
      </c>
      <c r="B386" s="32">
        <v>12</v>
      </c>
      <c r="C386" s="32">
        <v>26303</v>
      </c>
      <c r="D386" s="32" t="s">
        <v>918</v>
      </c>
      <c r="E386" s="145"/>
      <c r="F386" s="21" t="s">
        <v>918</v>
      </c>
      <c r="G386" s="21" t="e">
        <f>VLOOKUP(P386,'CO F3'!$C$2:$M$108,7,FALSE)</f>
        <v>#N/A</v>
      </c>
      <c r="H386" s="21" t="e">
        <f>VLOOKUP(Q386,'CO F3'!$C$2:$M$108,7,FALSE)</f>
        <v>#N/A</v>
      </c>
      <c r="I386" s="32" t="s">
        <v>697</v>
      </c>
      <c r="J386" s="33"/>
      <c r="K386" s="33"/>
      <c r="L386" s="33" t="s">
        <v>13</v>
      </c>
      <c r="M386" s="33"/>
      <c r="N386" s="33"/>
      <c r="O386" s="33"/>
      <c r="P386" s="139" t="s">
        <v>815</v>
      </c>
      <c r="Q386" s="32" t="s">
        <v>849</v>
      </c>
      <c r="R386" s="42" t="s">
        <v>849</v>
      </c>
      <c r="S386" s="42" t="s">
        <v>601</v>
      </c>
      <c r="T386" s="42" t="s">
        <v>575</v>
      </c>
      <c r="U386" s="34" t="s">
        <v>583</v>
      </c>
      <c r="V386" s="35" t="s">
        <v>41</v>
      </c>
      <c r="W386" s="34">
        <v>1</v>
      </c>
      <c r="X386" s="34"/>
      <c r="Y386" s="34"/>
      <c r="Z386" s="34"/>
      <c r="AA386" s="34"/>
      <c r="AB386" s="37" t="s">
        <v>17</v>
      </c>
      <c r="AC386" s="34" t="s">
        <v>602</v>
      </c>
      <c r="AD386" s="34" t="s">
        <v>34</v>
      </c>
      <c r="AE386" s="34" t="s">
        <v>20</v>
      </c>
      <c r="AF386" s="34" t="s">
        <v>90</v>
      </c>
      <c r="AG386" s="11"/>
    </row>
    <row r="387" spans="1:33" s="12" customFormat="1" ht="21.95" customHeight="1">
      <c r="A387" s="24">
        <v>386</v>
      </c>
      <c r="B387" s="25">
        <v>12</v>
      </c>
      <c r="C387" s="25">
        <v>26303</v>
      </c>
      <c r="D387" s="25" t="s">
        <v>918</v>
      </c>
      <c r="E387" s="144"/>
      <c r="F387" s="21" t="s">
        <v>917</v>
      </c>
      <c r="G387" s="21" t="e">
        <f>VLOOKUP(P387,'CO F3'!$C$2:$M$108,7,FALSE)</f>
        <v>#N/A</v>
      </c>
      <c r="H387" s="21" t="e">
        <f>VLOOKUP(Q387,'CO F3'!$C$2:$M$108,7,FALSE)</f>
        <v>#N/A</v>
      </c>
      <c r="I387" s="25" t="s">
        <v>697</v>
      </c>
      <c r="J387" s="26"/>
      <c r="K387" s="26"/>
      <c r="L387" s="26"/>
      <c r="M387" s="26" t="s">
        <v>13</v>
      </c>
      <c r="N387" s="26"/>
      <c r="O387" s="26"/>
      <c r="P387" s="25">
        <v>7703042095</v>
      </c>
      <c r="Q387" s="25" t="s">
        <v>849</v>
      </c>
      <c r="R387" s="41" t="s">
        <v>849</v>
      </c>
      <c r="S387" s="41" t="s">
        <v>601</v>
      </c>
      <c r="T387" s="140" t="s">
        <v>811</v>
      </c>
      <c r="U387" s="27" t="s">
        <v>584</v>
      </c>
      <c r="V387" s="15" t="s">
        <v>29</v>
      </c>
      <c r="W387" s="27">
        <v>1</v>
      </c>
      <c r="X387" s="27"/>
      <c r="Y387" s="27"/>
      <c r="Z387" s="27"/>
      <c r="AA387" s="27"/>
      <c r="AB387" s="38" t="s">
        <v>30</v>
      </c>
      <c r="AC387" s="27" t="s">
        <v>602</v>
      </c>
      <c r="AD387" s="27" t="s">
        <v>34</v>
      </c>
      <c r="AE387" s="27" t="s">
        <v>20</v>
      </c>
      <c r="AF387" s="27" t="s">
        <v>90</v>
      </c>
      <c r="AG387" s="11"/>
    </row>
    <row r="388" spans="1:33" s="12" customFormat="1" ht="21.95" customHeight="1">
      <c r="A388" s="16">
        <v>387</v>
      </c>
      <c r="B388" s="17">
        <v>12</v>
      </c>
      <c r="C388" s="17">
        <v>26303</v>
      </c>
      <c r="D388" s="17" t="s">
        <v>918</v>
      </c>
      <c r="E388" s="143"/>
      <c r="F388" s="21" t="s">
        <v>906</v>
      </c>
      <c r="G388" s="21" t="str">
        <f>VLOOKUP(P388,'CO F3'!$C$2:$M$108,7,FALSE)</f>
        <v>GIC NOSAG ROMANIA</v>
      </c>
      <c r="H388" s="21" t="e">
        <f>VLOOKUP(Q388,'CO F3'!$C$2:$M$108,7,FALSE)</f>
        <v>#N/A</v>
      </c>
      <c r="I388" s="17" t="s">
        <v>697</v>
      </c>
      <c r="J388" s="18"/>
      <c r="K388" s="18"/>
      <c r="L388" s="18"/>
      <c r="M388" s="18" t="s">
        <v>13</v>
      </c>
      <c r="N388" s="18"/>
      <c r="O388" s="18"/>
      <c r="P388" s="17" t="s">
        <v>585</v>
      </c>
      <c r="Q388" s="17" t="s">
        <v>849</v>
      </c>
      <c r="R388" s="40" t="s">
        <v>849</v>
      </c>
      <c r="S388" s="40" t="s">
        <v>601</v>
      </c>
      <c r="T388" s="140" t="s">
        <v>811</v>
      </c>
      <c r="U388" s="19" t="s">
        <v>586</v>
      </c>
      <c r="V388" s="13" t="s">
        <v>24</v>
      </c>
      <c r="W388" s="19">
        <v>1</v>
      </c>
      <c r="X388" s="19" t="s">
        <v>199</v>
      </c>
      <c r="Y388" s="19" t="s">
        <v>390</v>
      </c>
      <c r="Z388" s="19">
        <v>1.18</v>
      </c>
      <c r="AA388" s="19">
        <v>1.2</v>
      </c>
      <c r="AB388" s="38" t="s">
        <v>30</v>
      </c>
      <c r="AC388" s="19" t="s">
        <v>602</v>
      </c>
      <c r="AD388" s="19" t="s">
        <v>34</v>
      </c>
      <c r="AE388" s="19" t="s">
        <v>20</v>
      </c>
      <c r="AF388" s="19" t="s">
        <v>90</v>
      </c>
      <c r="AG388" s="11"/>
    </row>
    <row r="389" spans="1:33" s="12" customFormat="1" ht="21.95" customHeight="1">
      <c r="A389" s="31">
        <v>388</v>
      </c>
      <c r="B389" s="32">
        <v>12</v>
      </c>
      <c r="C389" s="32">
        <v>26303</v>
      </c>
      <c r="D389" s="32" t="s">
        <v>918</v>
      </c>
      <c r="E389" s="145"/>
      <c r="F389" s="21" t="s">
        <v>878</v>
      </c>
      <c r="G389" s="21" t="str">
        <f>VLOOKUP(P389,'CO F3'!$C$2:$M$108,7,FALSE)</f>
        <v>POLISTAMPO INDUSTRIA METALUR Brasil</v>
      </c>
      <c r="H389" s="21" t="e">
        <f>VLOOKUP(Q389,'CO F3'!$C$2:$M$108,7,FALSE)</f>
        <v>#N/A</v>
      </c>
      <c r="I389" s="32" t="s">
        <v>697</v>
      </c>
      <c r="J389" s="33"/>
      <c r="K389" s="33" t="s">
        <v>13</v>
      </c>
      <c r="L389" s="33"/>
      <c r="M389" s="33"/>
      <c r="N389" s="33"/>
      <c r="O389" s="33"/>
      <c r="P389" s="32" t="s">
        <v>587</v>
      </c>
      <c r="Q389" s="32" t="s">
        <v>849</v>
      </c>
      <c r="R389" s="42" t="s">
        <v>849</v>
      </c>
      <c r="S389" s="42" t="s">
        <v>601</v>
      </c>
      <c r="T389" s="42" t="s">
        <v>600</v>
      </c>
      <c r="U389" s="34" t="s">
        <v>588</v>
      </c>
      <c r="V389" s="35" t="s">
        <v>41</v>
      </c>
      <c r="W389" s="34">
        <v>1</v>
      </c>
      <c r="X389" s="34"/>
      <c r="Y389" s="34"/>
      <c r="Z389" s="34"/>
      <c r="AA389" s="34"/>
      <c r="AB389" s="38" t="s">
        <v>30</v>
      </c>
      <c r="AC389" s="34" t="s">
        <v>602</v>
      </c>
      <c r="AD389" s="34" t="s">
        <v>34</v>
      </c>
      <c r="AE389" s="34" t="s">
        <v>20</v>
      </c>
      <c r="AF389" s="34" t="s">
        <v>90</v>
      </c>
      <c r="AG389" s="11"/>
    </row>
    <row r="390" spans="1:33" s="12" customFormat="1" ht="21.95" customHeight="1">
      <c r="A390" s="24">
        <v>389</v>
      </c>
      <c r="B390" s="25">
        <v>12</v>
      </c>
      <c r="C390" s="25">
        <v>26303</v>
      </c>
      <c r="D390" s="25" t="s">
        <v>918</v>
      </c>
      <c r="E390" s="144"/>
      <c r="F390" s="21" t="s">
        <v>917</v>
      </c>
      <c r="G390" s="21" t="e">
        <f>VLOOKUP(P390,'CO F3'!$C$2:$M$108,7,FALSE)</f>
        <v>#N/A</v>
      </c>
      <c r="H390" s="21" t="e">
        <f>VLOOKUP(Q390,'CO F3'!$C$2:$M$108,7,FALSE)</f>
        <v>#N/A</v>
      </c>
      <c r="I390" s="25" t="s">
        <v>697</v>
      </c>
      <c r="J390" s="26"/>
      <c r="K390" s="26"/>
      <c r="L390" s="26" t="s">
        <v>13</v>
      </c>
      <c r="M390" s="26"/>
      <c r="N390" s="26"/>
      <c r="O390" s="26"/>
      <c r="P390" s="25">
        <v>7703611003</v>
      </c>
      <c r="Q390" s="25" t="s">
        <v>849</v>
      </c>
      <c r="R390" s="41" t="s">
        <v>849</v>
      </c>
      <c r="S390" s="41" t="s">
        <v>601</v>
      </c>
      <c r="T390" s="41" t="s">
        <v>587</v>
      </c>
      <c r="U390" s="27" t="s">
        <v>589</v>
      </c>
      <c r="V390" s="15" t="s">
        <v>29</v>
      </c>
      <c r="W390" s="27">
        <v>4</v>
      </c>
      <c r="X390" s="27"/>
      <c r="Y390" s="27"/>
      <c r="Z390" s="27">
        <v>3</v>
      </c>
      <c r="AA390" s="27">
        <v>2.1999999999999999E-2</v>
      </c>
      <c r="AB390" s="38" t="s">
        <v>30</v>
      </c>
      <c r="AC390" s="27" t="s">
        <v>602</v>
      </c>
      <c r="AD390" s="27" t="s">
        <v>34</v>
      </c>
      <c r="AE390" s="27" t="s">
        <v>20</v>
      </c>
      <c r="AF390" s="27" t="s">
        <v>90</v>
      </c>
      <c r="AG390" s="11"/>
    </row>
    <row r="391" spans="1:33" s="12" customFormat="1" ht="21.95" customHeight="1">
      <c r="A391" s="16">
        <v>390</v>
      </c>
      <c r="B391" s="17">
        <v>12</v>
      </c>
      <c r="C391" s="17">
        <v>26303</v>
      </c>
      <c r="D391" s="17" t="s">
        <v>918</v>
      </c>
      <c r="E391" s="143"/>
      <c r="F391" s="21" t="s">
        <v>878</v>
      </c>
      <c r="G391" s="21" t="e">
        <f>VLOOKUP(P391,'CO F3'!$C$2:$M$108,7,FALSE)</f>
        <v>#N/A</v>
      </c>
      <c r="H391" s="21" t="e">
        <f>VLOOKUP(Q391,'CO F3'!$C$2:$M$108,7,FALSE)</f>
        <v>#N/A</v>
      </c>
      <c r="I391" s="17" t="s">
        <v>697</v>
      </c>
      <c r="J391" s="18"/>
      <c r="K391" s="18"/>
      <c r="L391" s="18" t="s">
        <v>13</v>
      </c>
      <c r="M391" s="18"/>
      <c r="N391" s="18"/>
      <c r="O391" s="18"/>
      <c r="P391" s="17" t="s">
        <v>590</v>
      </c>
      <c r="Q391" s="17" t="s">
        <v>849</v>
      </c>
      <c r="R391" s="40" t="s">
        <v>849</v>
      </c>
      <c r="S391" s="40" t="s">
        <v>601</v>
      </c>
      <c r="T391" s="40" t="s">
        <v>587</v>
      </c>
      <c r="U391" s="19" t="s">
        <v>591</v>
      </c>
      <c r="V391" s="13" t="s">
        <v>24</v>
      </c>
      <c r="W391" s="19">
        <v>1</v>
      </c>
      <c r="X391" s="19" t="s">
        <v>141</v>
      </c>
      <c r="Y391" s="19" t="s">
        <v>249</v>
      </c>
      <c r="Z391" s="19">
        <v>1.2</v>
      </c>
      <c r="AA391" s="19">
        <v>0.76</v>
      </c>
      <c r="AB391" s="38" t="s">
        <v>30</v>
      </c>
      <c r="AC391" s="19" t="s">
        <v>602</v>
      </c>
      <c r="AD391" s="19" t="s">
        <v>34</v>
      </c>
      <c r="AE391" s="19" t="s">
        <v>20</v>
      </c>
      <c r="AF391" s="19" t="s">
        <v>90</v>
      </c>
      <c r="AG391" s="11"/>
    </row>
    <row r="392" spans="1:33" s="12" customFormat="1" ht="21.95" customHeight="1">
      <c r="A392" s="16">
        <v>391</v>
      </c>
      <c r="B392" s="17">
        <v>12</v>
      </c>
      <c r="C392" s="17">
        <v>26303</v>
      </c>
      <c r="D392" s="17" t="s">
        <v>918</v>
      </c>
      <c r="E392" s="143"/>
      <c r="F392" s="21" t="s">
        <v>878</v>
      </c>
      <c r="G392" s="21" t="e">
        <f>VLOOKUP(P392,'CO F3'!$C$2:$M$108,7,FALSE)</f>
        <v>#N/A</v>
      </c>
      <c r="H392" s="21" t="e">
        <f>VLOOKUP(Q392,'CO F3'!$C$2:$M$108,7,FALSE)</f>
        <v>#N/A</v>
      </c>
      <c r="I392" s="17" t="s">
        <v>697</v>
      </c>
      <c r="J392" s="18"/>
      <c r="K392" s="18"/>
      <c r="L392" s="18" t="s">
        <v>13</v>
      </c>
      <c r="M392" s="18"/>
      <c r="N392" s="18"/>
      <c r="O392" s="18"/>
      <c r="P392" s="17" t="s">
        <v>592</v>
      </c>
      <c r="Q392" s="17" t="s">
        <v>849</v>
      </c>
      <c r="R392" s="40" t="s">
        <v>849</v>
      </c>
      <c r="S392" s="40" t="s">
        <v>601</v>
      </c>
      <c r="T392" s="40" t="s">
        <v>587</v>
      </c>
      <c r="U392" s="19" t="s">
        <v>593</v>
      </c>
      <c r="V392" s="13" t="s">
        <v>24</v>
      </c>
      <c r="W392" s="19">
        <v>1</v>
      </c>
      <c r="X392" s="19" t="s">
        <v>141</v>
      </c>
      <c r="Y392" s="19" t="s">
        <v>249</v>
      </c>
      <c r="Z392" s="19">
        <v>1.5</v>
      </c>
      <c r="AA392" s="19">
        <v>0.02</v>
      </c>
      <c r="AB392" s="38" t="s">
        <v>30</v>
      </c>
      <c r="AC392" s="19" t="s">
        <v>602</v>
      </c>
      <c r="AD392" s="19" t="s">
        <v>34</v>
      </c>
      <c r="AE392" s="19" t="s">
        <v>20</v>
      </c>
      <c r="AF392" s="19" t="s">
        <v>90</v>
      </c>
      <c r="AG392" s="11"/>
    </row>
    <row r="393" spans="1:33" s="12" customFormat="1" ht="21.95" customHeight="1">
      <c r="A393" s="31">
        <v>392</v>
      </c>
      <c r="B393" s="32">
        <v>12</v>
      </c>
      <c r="C393" s="32">
        <v>26303</v>
      </c>
      <c r="D393" s="32" t="s">
        <v>918</v>
      </c>
      <c r="E393" s="145"/>
      <c r="F393" s="21" t="s">
        <v>918</v>
      </c>
      <c r="G393" s="21" t="str">
        <f>VLOOKUP(P393,'CO F3'!$C$2:$M$108,7,FALSE)</f>
        <v>FUMISCOR</v>
      </c>
      <c r="H393" s="21" t="e">
        <f>VLOOKUP(Q393,'CO F3'!$C$2:$M$108,7,FALSE)</f>
        <v>#N/A</v>
      </c>
      <c r="I393" s="32" t="s">
        <v>697</v>
      </c>
      <c r="J393" s="33"/>
      <c r="K393" s="33" t="s">
        <v>13</v>
      </c>
      <c r="L393" s="33"/>
      <c r="M393" s="33"/>
      <c r="N393" s="33"/>
      <c r="O393" s="33"/>
      <c r="P393" s="32" t="s">
        <v>594</v>
      </c>
      <c r="Q393" s="32" t="s">
        <v>849</v>
      </c>
      <c r="R393" s="42" t="s">
        <v>849</v>
      </c>
      <c r="S393" s="42" t="s">
        <v>601</v>
      </c>
      <c r="T393" s="42" t="s">
        <v>600</v>
      </c>
      <c r="U393" s="34" t="s">
        <v>595</v>
      </c>
      <c r="V393" s="35" t="s">
        <v>41</v>
      </c>
      <c r="W393" s="34">
        <v>1</v>
      </c>
      <c r="X393" s="34"/>
      <c r="Y393" s="34"/>
      <c r="Z393" s="34"/>
      <c r="AA393" s="34">
        <v>0.96</v>
      </c>
      <c r="AB393" s="38" t="s">
        <v>30</v>
      </c>
      <c r="AC393" s="34" t="s">
        <v>602</v>
      </c>
      <c r="AD393" s="34" t="s">
        <v>34</v>
      </c>
      <c r="AE393" s="34" t="s">
        <v>20</v>
      </c>
      <c r="AF393" s="34" t="s">
        <v>90</v>
      </c>
      <c r="AG393" s="11"/>
    </row>
    <row r="394" spans="1:33" s="12" customFormat="1" ht="21.95" customHeight="1">
      <c r="A394" s="16">
        <v>393</v>
      </c>
      <c r="B394" s="17">
        <v>12</v>
      </c>
      <c r="C394" s="17">
        <v>26303</v>
      </c>
      <c r="D394" s="17" t="s">
        <v>918</v>
      </c>
      <c r="E394" s="143"/>
      <c r="F394" s="21" t="s">
        <v>918</v>
      </c>
      <c r="G394" s="21" t="e">
        <f>VLOOKUP(P394,'CO F3'!$C$2:$M$108,7,FALSE)</f>
        <v>#N/A</v>
      </c>
      <c r="H394" s="21" t="e">
        <f>VLOOKUP(Q394,'CO F3'!$C$2:$M$108,7,FALSE)</f>
        <v>#N/A</v>
      </c>
      <c r="I394" s="17" t="s">
        <v>697</v>
      </c>
      <c r="J394" s="18"/>
      <c r="K394" s="18"/>
      <c r="L394" s="18" t="s">
        <v>13</v>
      </c>
      <c r="M394" s="18"/>
      <c r="N394" s="18"/>
      <c r="O394" s="18"/>
      <c r="P394" s="17" t="s">
        <v>596</v>
      </c>
      <c r="Q394" s="17" t="s">
        <v>861</v>
      </c>
      <c r="R394" s="40" t="s">
        <v>852</v>
      </c>
      <c r="S394" s="40" t="s">
        <v>601</v>
      </c>
      <c r="T394" s="40" t="s">
        <v>594</v>
      </c>
      <c r="U394" s="19" t="s">
        <v>597</v>
      </c>
      <c r="V394" s="13" t="s">
        <v>24</v>
      </c>
      <c r="W394" s="19">
        <v>1</v>
      </c>
      <c r="X394" s="19" t="s">
        <v>141</v>
      </c>
      <c r="Y394" s="19" t="s">
        <v>194</v>
      </c>
      <c r="Z394" s="19">
        <v>1.5</v>
      </c>
      <c r="AA394" s="19">
        <v>0.87</v>
      </c>
      <c r="AB394" s="38" t="s">
        <v>30</v>
      </c>
      <c r="AC394" s="19" t="s">
        <v>602</v>
      </c>
      <c r="AD394" s="19" t="s">
        <v>34</v>
      </c>
      <c r="AE394" s="19" t="s">
        <v>20</v>
      </c>
      <c r="AF394" s="19" t="s">
        <v>90</v>
      </c>
      <c r="AG394" s="11"/>
    </row>
    <row r="395" spans="1:33" s="12" customFormat="1" ht="21.95" customHeight="1">
      <c r="A395" s="16">
        <v>394</v>
      </c>
      <c r="B395" s="17">
        <v>12</v>
      </c>
      <c r="C395" s="17">
        <v>26303</v>
      </c>
      <c r="D395" s="17" t="s">
        <v>918</v>
      </c>
      <c r="E395" s="143"/>
      <c r="F395" s="21" t="s">
        <v>918</v>
      </c>
      <c r="G395" s="21" t="e">
        <f>VLOOKUP(P395,'CO F3'!$C$2:$M$108,7,FALSE)</f>
        <v>#N/A</v>
      </c>
      <c r="H395" s="21" t="e">
        <f>VLOOKUP(Q395,'CO F3'!$C$2:$M$108,7,FALSE)</f>
        <v>#N/A</v>
      </c>
      <c r="I395" s="17" t="s">
        <v>697</v>
      </c>
      <c r="J395" s="18"/>
      <c r="K395" s="18"/>
      <c r="L395" s="18" t="s">
        <v>13</v>
      </c>
      <c r="M395" s="18"/>
      <c r="N395" s="18"/>
      <c r="O395" s="18"/>
      <c r="P395" s="17" t="s">
        <v>598</v>
      </c>
      <c r="Q395" s="17" t="s">
        <v>861</v>
      </c>
      <c r="R395" s="40" t="s">
        <v>851</v>
      </c>
      <c r="S395" s="40" t="s">
        <v>601</v>
      </c>
      <c r="T395" s="40" t="s">
        <v>594</v>
      </c>
      <c r="U395" s="19" t="s">
        <v>599</v>
      </c>
      <c r="V395" s="13" t="s">
        <v>24</v>
      </c>
      <c r="W395" s="19">
        <v>1</v>
      </c>
      <c r="X395" s="19" t="s">
        <v>199</v>
      </c>
      <c r="Y395" s="19" t="s">
        <v>38</v>
      </c>
      <c r="Z395" s="19">
        <v>0.79</v>
      </c>
      <c r="AA395" s="19">
        <v>0.09</v>
      </c>
      <c r="AB395" s="38" t="s">
        <v>30</v>
      </c>
      <c r="AC395" s="19" t="s">
        <v>602</v>
      </c>
      <c r="AD395" s="19" t="s">
        <v>34</v>
      </c>
      <c r="AE395" s="19" t="s">
        <v>20</v>
      </c>
      <c r="AF395" s="19" t="s">
        <v>90</v>
      </c>
      <c r="AG395" s="11"/>
    </row>
    <row r="396" spans="1:33" s="12" customFormat="1" ht="21.95" customHeight="1">
      <c r="A396" s="31">
        <v>395</v>
      </c>
      <c r="B396" s="32">
        <v>12</v>
      </c>
      <c r="C396" s="32">
        <v>26303</v>
      </c>
      <c r="D396" s="32" t="s">
        <v>918</v>
      </c>
      <c r="E396" s="145">
        <v>273760</v>
      </c>
      <c r="F396" s="21" t="s">
        <v>921</v>
      </c>
      <c r="G396" s="21" t="str">
        <f>VLOOKUP(P396,'CO F3'!$C$2:$M$108,7,FALSE)</f>
        <v>COSKUNOZ MA SRL ROMANIA</v>
      </c>
      <c r="H396" s="21" t="e">
        <f>VLOOKUP(Q396,'CO F3'!$C$2:$M$108,7,FALSE)</f>
        <v>#N/A</v>
      </c>
      <c r="I396" s="32" t="s">
        <v>697</v>
      </c>
      <c r="J396" s="33"/>
      <c r="K396" s="33" t="s">
        <v>13</v>
      </c>
      <c r="L396" s="33"/>
      <c r="M396" s="33"/>
      <c r="N396" s="33"/>
      <c r="O396" s="33"/>
      <c r="P396" s="32" t="s">
        <v>606</v>
      </c>
      <c r="Q396" s="32" t="s">
        <v>849</v>
      </c>
      <c r="R396" s="42" t="s">
        <v>849</v>
      </c>
      <c r="S396" s="42" t="s">
        <v>601</v>
      </c>
      <c r="T396" s="42" t="s">
        <v>600</v>
      </c>
      <c r="U396" s="34" t="s">
        <v>607</v>
      </c>
      <c r="V396" s="35" t="s">
        <v>41</v>
      </c>
      <c r="W396" s="34">
        <v>1</v>
      </c>
      <c r="X396" s="34"/>
      <c r="Y396" s="34"/>
      <c r="Z396" s="34"/>
      <c r="AA396" s="34"/>
      <c r="AB396" s="38" t="s">
        <v>30</v>
      </c>
      <c r="AC396" s="34" t="s">
        <v>602</v>
      </c>
      <c r="AD396" s="34" t="s">
        <v>34</v>
      </c>
      <c r="AE396" s="34" t="s">
        <v>20</v>
      </c>
      <c r="AF396" s="34" t="s">
        <v>90</v>
      </c>
      <c r="AG396" s="11"/>
    </row>
    <row r="397" spans="1:33" s="12" customFormat="1" ht="21.95" customHeight="1">
      <c r="A397" s="16">
        <v>396</v>
      </c>
      <c r="B397" s="17">
        <v>12</v>
      </c>
      <c r="C397" s="17">
        <v>26303</v>
      </c>
      <c r="D397" s="17" t="s">
        <v>918</v>
      </c>
      <c r="E397" s="143">
        <v>273760</v>
      </c>
      <c r="F397" s="21" t="s">
        <v>921</v>
      </c>
      <c r="G397" s="21" t="e">
        <f>VLOOKUP(P397,'CO F3'!$C$2:$M$108,7,FALSE)</f>
        <v>#N/A</v>
      </c>
      <c r="H397" s="21" t="e">
        <f>VLOOKUP(Q397,'CO F3'!$C$2:$M$108,7,FALSE)</f>
        <v>#N/A</v>
      </c>
      <c r="I397" s="17" t="s">
        <v>697</v>
      </c>
      <c r="J397" s="18"/>
      <c r="K397" s="18"/>
      <c r="L397" s="18" t="s">
        <v>13</v>
      </c>
      <c r="M397" s="18"/>
      <c r="N397" s="18"/>
      <c r="O397" s="18"/>
      <c r="P397" s="17" t="s">
        <v>608</v>
      </c>
      <c r="Q397" s="17" t="s">
        <v>849</v>
      </c>
      <c r="R397" s="40" t="s">
        <v>849</v>
      </c>
      <c r="S397" s="40" t="s">
        <v>601</v>
      </c>
      <c r="T397" s="40" t="s">
        <v>606</v>
      </c>
      <c r="U397" s="19" t="s">
        <v>609</v>
      </c>
      <c r="V397" s="13" t="s">
        <v>24</v>
      </c>
      <c r="W397" s="19">
        <v>1</v>
      </c>
      <c r="X397" s="19" t="s">
        <v>462</v>
      </c>
      <c r="Y397" s="19" t="s">
        <v>194</v>
      </c>
      <c r="Z397" s="19">
        <v>1.2</v>
      </c>
      <c r="AA397" s="19">
        <v>0.2</v>
      </c>
      <c r="AB397" s="38" t="s">
        <v>30</v>
      </c>
      <c r="AC397" s="19" t="s">
        <v>602</v>
      </c>
      <c r="AD397" s="19" t="s">
        <v>34</v>
      </c>
      <c r="AE397" s="19" t="s">
        <v>20</v>
      </c>
      <c r="AF397" s="19" t="s">
        <v>90</v>
      </c>
      <c r="AG397" s="11"/>
    </row>
    <row r="398" spans="1:33" s="12" customFormat="1" ht="21.95" customHeight="1">
      <c r="A398" s="24">
        <v>397</v>
      </c>
      <c r="B398" s="25">
        <v>12</v>
      </c>
      <c r="C398" s="25">
        <v>26303</v>
      </c>
      <c r="D398" s="25" t="s">
        <v>918</v>
      </c>
      <c r="E398" s="144"/>
      <c r="F398" s="21" t="s">
        <v>917</v>
      </c>
      <c r="G398" s="21" t="e">
        <f>VLOOKUP(P398,'CO F3'!$C$2:$M$108,7,FALSE)</f>
        <v>#N/A</v>
      </c>
      <c r="H398" s="21" t="e">
        <f>VLOOKUP(Q398,'CO F3'!$C$2:$M$108,7,FALSE)</f>
        <v>#N/A</v>
      </c>
      <c r="I398" s="25" t="s">
        <v>697</v>
      </c>
      <c r="J398" s="26"/>
      <c r="K398" s="26"/>
      <c r="L398" s="26" t="s">
        <v>13</v>
      </c>
      <c r="M398" s="26"/>
      <c r="N398" s="26"/>
      <c r="O398" s="26"/>
      <c r="P398" s="25">
        <v>7703042100</v>
      </c>
      <c r="Q398" s="25" t="s">
        <v>849</v>
      </c>
      <c r="R398" s="41" t="s">
        <v>849</v>
      </c>
      <c r="S398" s="41" t="s">
        <v>601</v>
      </c>
      <c r="T398" s="41" t="s">
        <v>606</v>
      </c>
      <c r="U398" s="27" t="s">
        <v>28</v>
      </c>
      <c r="V398" s="15" t="s">
        <v>29</v>
      </c>
      <c r="W398" s="27">
        <v>1</v>
      </c>
      <c r="X398" s="27"/>
      <c r="Y398" s="27"/>
      <c r="Z398" s="27"/>
      <c r="AA398" s="27">
        <v>0.02</v>
      </c>
      <c r="AB398" s="38" t="s">
        <v>30</v>
      </c>
      <c r="AC398" s="27" t="s">
        <v>602</v>
      </c>
      <c r="AD398" s="27" t="s">
        <v>34</v>
      </c>
      <c r="AE398" s="27" t="s">
        <v>20</v>
      </c>
      <c r="AF398" s="27" t="s">
        <v>90</v>
      </c>
      <c r="AG398" s="11"/>
    </row>
    <row r="399" spans="1:33" s="12" customFormat="1" ht="21.95" customHeight="1">
      <c r="A399" s="31">
        <v>398</v>
      </c>
      <c r="B399" s="32">
        <v>12</v>
      </c>
      <c r="C399" s="32">
        <v>26303</v>
      </c>
      <c r="D399" s="32" t="s">
        <v>918</v>
      </c>
      <c r="E399" s="145">
        <v>273760</v>
      </c>
      <c r="F399" s="21" t="s">
        <v>921</v>
      </c>
      <c r="G399" s="21" t="str">
        <f>VLOOKUP(P399,'CO F3'!$C$2:$M$108,7,FALSE)</f>
        <v>COSKUNOZ MA SRL ROMANIA</v>
      </c>
      <c r="H399" s="21" t="e">
        <f>VLOOKUP(Q399,'CO F3'!$C$2:$M$108,7,FALSE)</f>
        <v>#N/A</v>
      </c>
      <c r="I399" s="32" t="s">
        <v>697</v>
      </c>
      <c r="J399" s="33"/>
      <c r="K399" s="33" t="s">
        <v>13</v>
      </c>
      <c r="L399" s="33"/>
      <c r="M399" s="33"/>
      <c r="N399" s="33"/>
      <c r="O399" s="33"/>
      <c r="P399" s="32" t="s">
        <v>610</v>
      </c>
      <c r="Q399" s="32" t="s">
        <v>849</v>
      </c>
      <c r="R399" s="42" t="s">
        <v>849</v>
      </c>
      <c r="S399" s="42" t="s">
        <v>601</v>
      </c>
      <c r="T399" s="42" t="s">
        <v>600</v>
      </c>
      <c r="U399" s="34" t="s">
        <v>611</v>
      </c>
      <c r="V399" s="35" t="s">
        <v>41</v>
      </c>
      <c r="W399" s="34">
        <v>1</v>
      </c>
      <c r="X399" s="34"/>
      <c r="Y399" s="34"/>
      <c r="Z399" s="34"/>
      <c r="AA399" s="34"/>
      <c r="AB399" s="38" t="s">
        <v>30</v>
      </c>
      <c r="AC399" s="34" t="s">
        <v>602</v>
      </c>
      <c r="AD399" s="34" t="s">
        <v>34</v>
      </c>
      <c r="AE399" s="34" t="s">
        <v>20</v>
      </c>
      <c r="AF399" s="34" t="s">
        <v>90</v>
      </c>
      <c r="AG399" s="11"/>
    </row>
    <row r="400" spans="1:33" s="12" customFormat="1" ht="21.95" customHeight="1">
      <c r="A400" s="16">
        <v>399</v>
      </c>
      <c r="B400" s="17">
        <v>12</v>
      </c>
      <c r="C400" s="17">
        <v>26303</v>
      </c>
      <c r="D400" s="17" t="s">
        <v>918</v>
      </c>
      <c r="E400" s="143">
        <v>273760</v>
      </c>
      <c r="F400" s="21" t="s">
        <v>921</v>
      </c>
      <c r="G400" s="21" t="e">
        <f>VLOOKUP(P400,'CO F3'!$C$2:$M$108,7,FALSE)</f>
        <v>#N/A</v>
      </c>
      <c r="H400" s="21" t="e">
        <f>VLOOKUP(Q400,'CO F3'!$C$2:$M$108,7,FALSE)</f>
        <v>#N/A</v>
      </c>
      <c r="I400" s="17" t="s">
        <v>697</v>
      </c>
      <c r="J400" s="18"/>
      <c r="K400" s="18"/>
      <c r="L400" s="18" t="s">
        <v>13</v>
      </c>
      <c r="M400" s="18"/>
      <c r="N400" s="18"/>
      <c r="O400" s="18"/>
      <c r="P400" s="17" t="s">
        <v>612</v>
      </c>
      <c r="Q400" s="17" t="s">
        <v>849</v>
      </c>
      <c r="R400" s="40" t="s">
        <v>849</v>
      </c>
      <c r="S400" s="40" t="s">
        <v>601</v>
      </c>
      <c r="T400" s="40" t="s">
        <v>610</v>
      </c>
      <c r="U400" s="19" t="s">
        <v>613</v>
      </c>
      <c r="V400" s="13" t="s">
        <v>24</v>
      </c>
      <c r="W400" s="19">
        <v>1</v>
      </c>
      <c r="X400" s="19" t="s">
        <v>462</v>
      </c>
      <c r="Y400" s="19" t="s">
        <v>194</v>
      </c>
      <c r="Z400" s="19">
        <v>1.2</v>
      </c>
      <c r="AA400" s="19">
        <v>0.2</v>
      </c>
      <c r="AB400" s="38" t="s">
        <v>30</v>
      </c>
      <c r="AC400" s="19" t="s">
        <v>602</v>
      </c>
      <c r="AD400" s="19" t="s">
        <v>34</v>
      </c>
      <c r="AE400" s="19" t="s">
        <v>20</v>
      </c>
      <c r="AF400" s="19" t="s">
        <v>90</v>
      </c>
      <c r="AG400" s="11"/>
    </row>
    <row r="401" spans="1:33" s="12" customFormat="1" ht="21.95" customHeight="1">
      <c r="A401" s="24">
        <v>400</v>
      </c>
      <c r="B401" s="25">
        <v>12</v>
      </c>
      <c r="C401" s="25">
        <v>26303</v>
      </c>
      <c r="D401" s="25" t="s">
        <v>918</v>
      </c>
      <c r="E401" s="144"/>
      <c r="F401" s="21" t="s">
        <v>917</v>
      </c>
      <c r="G401" s="21" t="e">
        <f>VLOOKUP(P401,'CO F3'!$C$2:$M$108,7,FALSE)</f>
        <v>#N/A</v>
      </c>
      <c r="H401" s="21" t="e">
        <f>VLOOKUP(Q401,'CO F3'!$C$2:$M$108,7,FALSE)</f>
        <v>#N/A</v>
      </c>
      <c r="I401" s="25" t="s">
        <v>697</v>
      </c>
      <c r="J401" s="26"/>
      <c r="K401" s="26"/>
      <c r="L401" s="26" t="s">
        <v>13</v>
      </c>
      <c r="M401" s="26"/>
      <c r="N401" s="26"/>
      <c r="O401" s="26"/>
      <c r="P401" s="25">
        <v>7703042100</v>
      </c>
      <c r="Q401" s="25" t="s">
        <v>849</v>
      </c>
      <c r="R401" s="41" t="s">
        <v>849</v>
      </c>
      <c r="S401" s="41" t="s">
        <v>601</v>
      </c>
      <c r="T401" s="41" t="s">
        <v>610</v>
      </c>
      <c r="U401" s="27" t="s">
        <v>28</v>
      </c>
      <c r="V401" s="15" t="s">
        <v>29</v>
      </c>
      <c r="W401" s="27">
        <v>1</v>
      </c>
      <c r="X401" s="27"/>
      <c r="Y401" s="27"/>
      <c r="Z401" s="27"/>
      <c r="AA401" s="27">
        <v>0.02</v>
      </c>
      <c r="AB401" s="38" t="s">
        <v>30</v>
      </c>
      <c r="AC401" s="27" t="s">
        <v>602</v>
      </c>
      <c r="AD401" s="27" t="s">
        <v>34</v>
      </c>
      <c r="AE401" s="27" t="s">
        <v>20</v>
      </c>
      <c r="AF401" s="27" t="s">
        <v>90</v>
      </c>
      <c r="AG401" s="11"/>
    </row>
  </sheetData>
  <sheetProtection selectLockedCells="1"/>
  <autoFilter ref="A1:AF401" xr:uid="{1A4D2890-2599-46A1-8765-30F68E15BCFE}">
    <filterColumn colId="18">
      <filters>
        <filter val="TUNNEL ASS 4X2"/>
        <filter val="TUNNEL ASS 4X4"/>
      </filters>
    </filterColumn>
  </autoFilter>
  <dataValidations count="1">
    <dataValidation type="whole" allowBlank="1" showInputMessage="1" showErrorMessage="1" sqref="A2:A401" xr:uid="{1B7E5F60-0BFE-411B-9B44-27F1B470E5FF}">
      <formula1>0</formula1>
      <formula2>99999</formula2>
    </dataValidation>
  </dataValidations>
  <pageMargins left="0.7" right="0.7" top="0.75" bottom="0.75" header="0.3" footer="0.3"/>
  <pageSetup orientation="portrait" r:id="rId1"/>
  <headerFooter>
    <oddFooter>&amp;R_x000D_&amp;1#&amp;"Arial"&amp;10&amp;K000000 Confidential C</oddFooter>
  </headerFooter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3D09769-4FC2-49C5-9BA7-0D3B0D1D9E94}">
          <x14:formula1>
            <xm:f>Valores!$B$6</xm:f>
          </x14:formula1>
          <xm:sqref>J2:O401</xm:sqref>
        </x14:dataValidation>
        <x14:dataValidation type="list" allowBlank="1" showInputMessage="1" showErrorMessage="1" xr:uid="{76AB1695-4371-4A18-828D-AA3E3D1A1E81}">
          <x14:formula1>
            <xm:f>Valores!$C$6:$C$11</xm:f>
          </x14:formula1>
          <xm:sqref>V2:V401</xm:sqref>
        </x14:dataValidation>
        <x14:dataValidation type="list" allowBlank="1" showInputMessage="1" showErrorMessage="1" xr:uid="{087A5A44-9EEE-4C28-BB10-EC339EFA77DD}">
          <x14:formula1>
            <xm:f>Valores!$E$6:$E$9</xm:f>
          </x14:formula1>
          <xm:sqref>AB2:AB401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95C9E5-3B5D-4C5B-8679-2ABE17F599EF}">
  <sheetPr codeName="Sheet1" filterMode="1"/>
  <dimension ref="A1:AK56"/>
  <sheetViews>
    <sheetView zoomScale="110" zoomScaleNormal="110" workbookViewId="0">
      <pane xSplit="14" ySplit="6" topLeftCell="O8" activePane="bottomRight" state="frozen"/>
      <selection pane="topRight" activeCell="K1" sqref="K1"/>
      <selection pane="bottomLeft" activeCell="A6" sqref="A6"/>
      <selection pane="bottomRight" activeCell="C8" sqref="C8:C37"/>
    </sheetView>
  </sheetViews>
  <sheetFormatPr baseColWidth="10" defaultColWidth="8.7109375" defaultRowHeight="15" outlineLevelCol="2"/>
  <cols>
    <col min="1" max="1" width="5.85546875" style="28" customWidth="1"/>
    <col min="2" max="2" width="16.7109375" style="28" bestFit="1" customWidth="1"/>
    <col min="3" max="3" width="18.7109375" style="28" customWidth="1"/>
    <col min="4" max="4" width="6.5703125" style="54" customWidth="1"/>
    <col min="5" max="5" width="15" style="28" customWidth="1"/>
    <col min="6" max="6" width="19.5703125" style="28" customWidth="1" outlineLevel="1"/>
    <col min="7" max="7" width="28.42578125" style="28" customWidth="1" outlineLevel="1"/>
    <col min="8" max="8" width="38.28515625" style="28" customWidth="1" outlineLevel="1"/>
    <col min="9" max="9" width="16.7109375" style="28" customWidth="1" outlineLevel="2"/>
    <col min="10" max="10" width="11" style="28" customWidth="1" outlineLevel="2"/>
    <col min="11" max="11" width="9.42578125" style="28" customWidth="1" outlineLevel="2"/>
    <col min="12" max="12" width="12.42578125" style="28" customWidth="1" outlineLevel="2"/>
    <col min="13" max="13" width="12.28515625" style="28" customWidth="1" outlineLevel="2"/>
    <col min="14" max="14" width="13" style="28" customWidth="1" outlineLevel="2"/>
    <col min="15" max="34" width="7.7109375" style="28" customWidth="1"/>
    <col min="35" max="35" width="35" style="28" bestFit="1" customWidth="1"/>
    <col min="36" max="36" width="38.7109375" style="28" customWidth="1"/>
    <col min="37" max="16384" width="8.7109375" style="28"/>
  </cols>
  <sheetData>
    <row r="1" spans="1:37" ht="29.25" customHeight="1" thickBot="1">
      <c r="A1" s="149" t="s">
        <v>614</v>
      </c>
      <c r="B1" s="149"/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49"/>
      <c r="O1" s="152" t="s">
        <v>615</v>
      </c>
      <c r="P1" s="152"/>
      <c r="Q1" s="152"/>
      <c r="R1" s="152"/>
      <c r="S1" s="152"/>
      <c r="T1" s="152"/>
      <c r="U1" s="152"/>
      <c r="V1" s="152"/>
      <c r="W1" s="152"/>
      <c r="X1" s="152"/>
      <c r="Y1" s="152"/>
      <c r="Z1" s="152"/>
      <c r="AA1" s="152"/>
      <c r="AB1" s="152"/>
      <c r="AC1" s="152"/>
      <c r="AD1" s="152"/>
      <c r="AE1" s="152"/>
      <c r="AF1" s="152"/>
      <c r="AG1" s="152"/>
      <c r="AH1" s="152"/>
    </row>
    <row r="2" spans="1:37" s="47" customFormat="1" ht="20.25" customHeight="1" thickTop="1">
      <c r="A2" s="149"/>
      <c r="B2" s="149"/>
      <c r="C2" s="149"/>
      <c r="D2" s="149"/>
      <c r="E2" s="149"/>
      <c r="F2" s="149"/>
      <c r="G2" s="149"/>
      <c r="H2" s="149"/>
      <c r="I2" s="149"/>
      <c r="J2" s="149"/>
      <c r="K2" s="149"/>
      <c r="L2" s="149"/>
      <c r="M2" s="149"/>
      <c r="N2" s="149"/>
      <c r="O2" s="153" t="s">
        <v>616</v>
      </c>
      <c r="P2" s="154"/>
      <c r="Q2" s="46" t="s">
        <v>617</v>
      </c>
      <c r="R2" s="155" t="s">
        <v>618</v>
      </c>
      <c r="S2" s="153"/>
      <c r="T2" s="153"/>
      <c r="U2" s="153"/>
      <c r="V2" s="154"/>
      <c r="W2" s="155" t="s">
        <v>619</v>
      </c>
      <c r="X2" s="153"/>
      <c r="Y2" s="153"/>
      <c r="Z2" s="153"/>
      <c r="AA2" s="154"/>
      <c r="AB2" s="155" t="s">
        <v>620</v>
      </c>
      <c r="AC2" s="153"/>
      <c r="AD2" s="153"/>
      <c r="AE2" s="153"/>
      <c r="AF2" s="154"/>
      <c r="AG2" s="155" t="s">
        <v>621</v>
      </c>
      <c r="AH2" s="154"/>
    </row>
    <row r="3" spans="1:37" s="47" customFormat="1" ht="15.75" customHeight="1">
      <c r="A3" s="149"/>
      <c r="B3" s="149"/>
      <c r="C3" s="149"/>
      <c r="D3" s="149"/>
      <c r="E3" s="149"/>
      <c r="F3" s="149"/>
      <c r="G3" s="149"/>
      <c r="H3" s="149"/>
      <c r="I3" s="149"/>
      <c r="J3" s="149"/>
      <c r="K3" s="149"/>
      <c r="L3" s="149"/>
      <c r="M3" s="149"/>
      <c r="N3" s="149"/>
      <c r="O3" s="98" t="s">
        <v>622</v>
      </c>
      <c r="P3" s="98" t="s">
        <v>623</v>
      </c>
      <c r="Q3" s="98" t="s">
        <v>624</v>
      </c>
      <c r="R3" s="98" t="s">
        <v>624</v>
      </c>
      <c r="S3" s="98" t="s">
        <v>623</v>
      </c>
      <c r="T3" s="98" t="s">
        <v>622</v>
      </c>
      <c r="U3" s="98" t="s">
        <v>625</v>
      </c>
      <c r="V3" s="98" t="s">
        <v>623</v>
      </c>
      <c r="W3" s="98" t="s">
        <v>623</v>
      </c>
      <c r="X3" s="99" t="s">
        <v>623</v>
      </c>
      <c r="Y3" s="99" t="s">
        <v>623</v>
      </c>
      <c r="Z3" s="99" t="s">
        <v>623</v>
      </c>
      <c r="AA3" s="98" t="s">
        <v>623</v>
      </c>
      <c r="AB3" s="98" t="s">
        <v>622</v>
      </c>
      <c r="AC3" s="98" t="s">
        <v>622</v>
      </c>
      <c r="AD3" s="98" t="s">
        <v>622</v>
      </c>
      <c r="AE3" s="98" t="s">
        <v>622</v>
      </c>
      <c r="AF3" s="98" t="s">
        <v>622</v>
      </c>
      <c r="AG3" s="98" t="s">
        <v>623</v>
      </c>
      <c r="AH3" s="98"/>
    </row>
    <row r="4" spans="1:37" s="48" customFormat="1" ht="83.25" customHeight="1">
      <c r="A4" s="149"/>
      <c r="B4" s="149"/>
      <c r="C4" s="149"/>
      <c r="D4" s="149"/>
      <c r="E4" s="149"/>
      <c r="F4" s="149"/>
      <c r="G4" s="149"/>
      <c r="H4" s="149"/>
      <c r="I4" s="149"/>
      <c r="J4" s="149"/>
      <c r="K4" s="149"/>
      <c r="L4" s="149"/>
      <c r="M4" s="149"/>
      <c r="N4" s="149"/>
      <c r="O4" s="165" t="s">
        <v>626</v>
      </c>
      <c r="P4" s="163" t="s">
        <v>627</v>
      </c>
      <c r="Q4" s="167" t="s">
        <v>628</v>
      </c>
      <c r="R4" s="165" t="s">
        <v>629</v>
      </c>
      <c r="S4" s="150" t="s">
        <v>630</v>
      </c>
      <c r="T4" s="156" t="s">
        <v>631</v>
      </c>
      <c r="U4" s="156" t="s">
        <v>632</v>
      </c>
      <c r="V4" s="150" t="s">
        <v>633</v>
      </c>
      <c r="W4" s="150" t="s">
        <v>634</v>
      </c>
      <c r="X4" s="150" t="s">
        <v>635</v>
      </c>
      <c r="Y4" s="150" t="s">
        <v>636</v>
      </c>
      <c r="Z4" s="150" t="s">
        <v>637</v>
      </c>
      <c r="AA4" s="163" t="s">
        <v>638</v>
      </c>
      <c r="AB4" s="165" t="s">
        <v>639</v>
      </c>
      <c r="AC4" s="156" t="s">
        <v>640</v>
      </c>
      <c r="AD4" s="156" t="s">
        <v>641</v>
      </c>
      <c r="AE4" s="156" t="s">
        <v>642</v>
      </c>
      <c r="AF4" s="160" t="s">
        <v>643</v>
      </c>
      <c r="AG4" s="158" t="s">
        <v>644</v>
      </c>
      <c r="AH4" s="160" t="s">
        <v>645</v>
      </c>
      <c r="AJ4" s="49" t="s">
        <v>646</v>
      </c>
      <c r="AK4" s="47"/>
    </row>
    <row r="5" spans="1:37" s="48" customFormat="1" ht="18" customHeight="1">
      <c r="A5" s="147" t="s">
        <v>647</v>
      </c>
      <c r="B5" s="147" t="s">
        <v>648</v>
      </c>
      <c r="C5" s="147" t="s">
        <v>649</v>
      </c>
      <c r="D5" s="147" t="s">
        <v>1</v>
      </c>
      <c r="E5" s="147" t="s">
        <v>650</v>
      </c>
      <c r="F5" s="147" t="s">
        <v>651</v>
      </c>
      <c r="G5" s="147" t="s">
        <v>652</v>
      </c>
      <c r="H5" s="147" t="s">
        <v>653</v>
      </c>
      <c r="I5" s="147" t="s">
        <v>654</v>
      </c>
      <c r="J5" s="62"/>
      <c r="K5" s="147" t="s">
        <v>655</v>
      </c>
      <c r="L5" s="162" t="s">
        <v>656</v>
      </c>
      <c r="M5" s="162"/>
      <c r="N5" s="162"/>
      <c r="O5" s="165"/>
      <c r="P5" s="163"/>
      <c r="Q5" s="167"/>
      <c r="R5" s="165"/>
      <c r="S5" s="150"/>
      <c r="T5" s="156"/>
      <c r="U5" s="156"/>
      <c r="V5" s="150"/>
      <c r="W5" s="150"/>
      <c r="X5" s="150"/>
      <c r="Y5" s="150"/>
      <c r="Z5" s="150"/>
      <c r="AA5" s="163"/>
      <c r="AB5" s="165"/>
      <c r="AC5" s="156"/>
      <c r="AD5" s="156"/>
      <c r="AE5" s="156"/>
      <c r="AF5" s="160"/>
      <c r="AG5" s="158"/>
      <c r="AH5" s="160"/>
      <c r="AJ5" s="49"/>
      <c r="AK5" s="47"/>
    </row>
    <row r="6" spans="1:37" s="48" customFormat="1" ht="27" customHeight="1">
      <c r="A6" s="148"/>
      <c r="B6" s="148"/>
      <c r="C6" s="148"/>
      <c r="D6" s="148"/>
      <c r="E6" s="148"/>
      <c r="F6" s="148"/>
      <c r="G6" s="148"/>
      <c r="H6" s="148"/>
      <c r="I6" s="148"/>
      <c r="J6" s="84" t="s">
        <v>4</v>
      </c>
      <c r="K6" s="148"/>
      <c r="L6" s="50" t="s">
        <v>657</v>
      </c>
      <c r="M6" s="50" t="s">
        <v>658</v>
      </c>
      <c r="N6" s="50" t="s">
        <v>659</v>
      </c>
      <c r="O6" s="166"/>
      <c r="P6" s="164"/>
      <c r="Q6" s="168"/>
      <c r="R6" s="166"/>
      <c r="S6" s="151"/>
      <c r="T6" s="157"/>
      <c r="U6" s="157"/>
      <c r="V6" s="151"/>
      <c r="W6" s="151"/>
      <c r="X6" s="151"/>
      <c r="Y6" s="151"/>
      <c r="Z6" s="151"/>
      <c r="AA6" s="164"/>
      <c r="AB6" s="166"/>
      <c r="AC6" s="157"/>
      <c r="AD6" s="157"/>
      <c r="AE6" s="157"/>
      <c r="AF6" s="161"/>
      <c r="AG6" s="159"/>
      <c r="AH6" s="161"/>
      <c r="AJ6" s="49"/>
      <c r="AK6" s="47"/>
    </row>
    <row r="7" spans="1:37" s="52" customFormat="1" ht="33.950000000000003" hidden="1" customHeight="1">
      <c r="A7" s="52" t="s">
        <v>660</v>
      </c>
      <c r="B7" s="63" t="s">
        <v>661</v>
      </c>
      <c r="C7" s="85" t="s">
        <v>33</v>
      </c>
      <c r="D7" s="79">
        <v>12</v>
      </c>
      <c r="E7" s="80" t="s">
        <v>45</v>
      </c>
      <c r="F7" s="81" t="s">
        <v>31</v>
      </c>
      <c r="G7" s="82" t="s">
        <v>662</v>
      </c>
      <c r="H7" s="82" t="s">
        <v>46</v>
      </c>
      <c r="I7" s="78" t="s">
        <v>663</v>
      </c>
      <c r="J7" s="78" t="s">
        <v>664</v>
      </c>
      <c r="K7" s="63" t="s">
        <v>665</v>
      </c>
      <c r="L7" s="63" t="s">
        <v>666</v>
      </c>
      <c r="M7" s="63"/>
      <c r="N7" s="67" t="s">
        <v>667</v>
      </c>
      <c r="O7" s="68">
        <v>4</v>
      </c>
      <c r="P7" s="69">
        <v>4</v>
      </c>
      <c r="Q7" s="70">
        <v>4</v>
      </c>
      <c r="R7" s="68">
        <v>4</v>
      </c>
      <c r="S7" s="71">
        <v>4</v>
      </c>
      <c r="T7" s="89"/>
      <c r="U7" s="89">
        <v>4</v>
      </c>
      <c r="V7" s="69">
        <v>4</v>
      </c>
      <c r="W7" s="68">
        <v>4</v>
      </c>
      <c r="X7" s="71">
        <v>4</v>
      </c>
      <c r="Y7" s="71">
        <v>4</v>
      </c>
      <c r="Z7" s="89">
        <v>4</v>
      </c>
      <c r="AA7" s="69">
        <v>4</v>
      </c>
      <c r="AB7" s="68">
        <v>6</v>
      </c>
      <c r="AC7" s="71">
        <v>6</v>
      </c>
      <c r="AD7" s="71">
        <v>6</v>
      </c>
      <c r="AE7" s="71">
        <v>4</v>
      </c>
      <c r="AF7" s="69">
        <v>4</v>
      </c>
      <c r="AG7" s="68">
        <v>4</v>
      </c>
      <c r="AH7" s="69">
        <v>6</v>
      </c>
      <c r="AI7" s="51" t="s">
        <v>668</v>
      </c>
      <c r="AJ7" s="90"/>
    </row>
    <row r="8" spans="1:37" s="52" customFormat="1" ht="33.950000000000003" customHeight="1">
      <c r="A8" s="106" t="s">
        <v>669</v>
      </c>
      <c r="B8" s="63" t="s">
        <v>670</v>
      </c>
      <c r="C8" s="107" t="s">
        <v>671</v>
      </c>
      <c r="D8" s="65">
        <v>12</v>
      </c>
      <c r="E8" s="64" t="s">
        <v>488</v>
      </c>
      <c r="F8" s="66" t="s">
        <v>431</v>
      </c>
      <c r="G8" s="72" t="s">
        <v>672</v>
      </c>
      <c r="H8" s="72" t="s">
        <v>489</v>
      </c>
      <c r="I8" s="63" t="s">
        <v>663</v>
      </c>
      <c r="J8" s="63" t="s">
        <v>20</v>
      </c>
      <c r="K8" s="63" t="s">
        <v>673</v>
      </c>
      <c r="L8" s="63" t="s">
        <v>666</v>
      </c>
      <c r="M8" s="63" t="s">
        <v>667</v>
      </c>
      <c r="N8" s="67" t="s">
        <v>667</v>
      </c>
      <c r="O8" s="68">
        <v>5</v>
      </c>
      <c r="P8" s="69">
        <v>5</v>
      </c>
      <c r="Q8" s="70">
        <v>5</v>
      </c>
      <c r="R8" s="68">
        <v>5</v>
      </c>
      <c r="S8" s="71">
        <v>5</v>
      </c>
      <c r="T8" s="89">
        <v>5</v>
      </c>
      <c r="U8" s="89">
        <v>0</v>
      </c>
      <c r="V8" s="69">
        <v>5</v>
      </c>
      <c r="W8" s="68">
        <v>5</v>
      </c>
      <c r="X8" s="71">
        <v>10</v>
      </c>
      <c r="Y8" s="71">
        <v>0</v>
      </c>
      <c r="Z8" s="89">
        <v>10</v>
      </c>
      <c r="AA8" s="69">
        <v>5</v>
      </c>
      <c r="AB8" s="68">
        <v>5</v>
      </c>
      <c r="AC8" s="71">
        <v>10</v>
      </c>
      <c r="AD8" s="71">
        <v>0</v>
      </c>
      <c r="AE8" s="71">
        <v>5</v>
      </c>
      <c r="AF8" s="69">
        <v>5</v>
      </c>
      <c r="AG8" s="68">
        <v>5</v>
      </c>
      <c r="AH8" s="69">
        <v>6</v>
      </c>
      <c r="AI8" s="51" t="s">
        <v>674</v>
      </c>
      <c r="AJ8" s="90"/>
    </row>
    <row r="9" spans="1:37" s="52" customFormat="1" ht="33.950000000000003" customHeight="1">
      <c r="A9" s="106" t="s">
        <v>675</v>
      </c>
      <c r="B9" s="63" t="s">
        <v>676</v>
      </c>
      <c r="C9" s="107" t="s">
        <v>540</v>
      </c>
      <c r="D9" s="65">
        <v>12</v>
      </c>
      <c r="E9" s="64" t="s">
        <v>538</v>
      </c>
      <c r="F9" s="66" t="s">
        <v>431</v>
      </c>
      <c r="G9" s="72" t="s">
        <v>677</v>
      </c>
      <c r="H9" s="72" t="s">
        <v>539</v>
      </c>
      <c r="I9" s="63" t="s">
        <v>663</v>
      </c>
      <c r="J9" s="63" t="s">
        <v>20</v>
      </c>
      <c r="K9" s="63" t="s">
        <v>673</v>
      </c>
      <c r="L9" s="63" t="s">
        <v>666</v>
      </c>
      <c r="M9" s="63" t="s">
        <v>678</v>
      </c>
      <c r="N9" s="67" t="s">
        <v>667</v>
      </c>
      <c r="O9" s="68">
        <v>5</v>
      </c>
      <c r="P9" s="69">
        <v>5</v>
      </c>
      <c r="Q9" s="70">
        <v>5</v>
      </c>
      <c r="R9" s="68">
        <v>5</v>
      </c>
      <c r="S9" s="71">
        <v>5</v>
      </c>
      <c r="T9" s="89">
        <v>5</v>
      </c>
      <c r="U9" s="89">
        <v>0</v>
      </c>
      <c r="V9" s="69">
        <v>5</v>
      </c>
      <c r="W9" s="68">
        <v>5</v>
      </c>
      <c r="X9" s="71">
        <v>10</v>
      </c>
      <c r="Y9" s="71">
        <v>0</v>
      </c>
      <c r="Z9" s="89">
        <v>10</v>
      </c>
      <c r="AA9" s="69">
        <v>5</v>
      </c>
      <c r="AB9" s="68">
        <v>6</v>
      </c>
      <c r="AC9" s="71">
        <v>6</v>
      </c>
      <c r="AD9" s="71">
        <v>6</v>
      </c>
      <c r="AE9" s="71">
        <v>5</v>
      </c>
      <c r="AF9" s="69">
        <v>5</v>
      </c>
      <c r="AG9" s="68">
        <v>5</v>
      </c>
      <c r="AH9" s="69">
        <v>6</v>
      </c>
      <c r="AI9" s="51" t="s">
        <v>679</v>
      </c>
      <c r="AJ9" s="90"/>
    </row>
    <row r="10" spans="1:37" s="52" customFormat="1" ht="33.950000000000003" customHeight="1">
      <c r="A10" s="106" t="s">
        <v>680</v>
      </c>
      <c r="B10" s="63" t="s">
        <v>681</v>
      </c>
      <c r="C10" s="107" t="s">
        <v>382</v>
      </c>
      <c r="D10" s="65">
        <v>12</v>
      </c>
      <c r="E10" s="64" t="s">
        <v>391</v>
      </c>
      <c r="F10" s="66" t="s">
        <v>380</v>
      </c>
      <c r="G10" s="72" t="s">
        <v>682</v>
      </c>
      <c r="H10" s="72" t="s">
        <v>392</v>
      </c>
      <c r="I10" s="63" t="s">
        <v>663</v>
      </c>
      <c r="J10" s="63" t="s">
        <v>20</v>
      </c>
      <c r="K10" s="63" t="s">
        <v>673</v>
      </c>
      <c r="L10" s="63" t="s">
        <v>666</v>
      </c>
      <c r="M10" s="63" t="s">
        <v>678</v>
      </c>
      <c r="N10" s="67" t="s">
        <v>667</v>
      </c>
      <c r="O10" s="68">
        <v>5</v>
      </c>
      <c r="P10" s="69">
        <v>5</v>
      </c>
      <c r="Q10" s="70">
        <v>5</v>
      </c>
      <c r="R10" s="68">
        <v>5</v>
      </c>
      <c r="S10" s="71">
        <v>5</v>
      </c>
      <c r="T10" s="89">
        <v>5</v>
      </c>
      <c r="U10" s="89">
        <v>0</v>
      </c>
      <c r="V10" s="69">
        <v>5</v>
      </c>
      <c r="W10" s="68">
        <v>5</v>
      </c>
      <c r="X10" s="71">
        <v>10</v>
      </c>
      <c r="Y10" s="71">
        <v>0</v>
      </c>
      <c r="Z10" s="89">
        <v>10</v>
      </c>
      <c r="AA10" s="69">
        <v>5</v>
      </c>
      <c r="AB10" s="68">
        <v>6</v>
      </c>
      <c r="AC10" s="71">
        <v>6</v>
      </c>
      <c r="AD10" s="71">
        <v>6</v>
      </c>
      <c r="AE10" s="71">
        <v>5</v>
      </c>
      <c r="AF10" s="69">
        <v>5</v>
      </c>
      <c r="AG10" s="68">
        <v>5</v>
      </c>
      <c r="AH10" s="69">
        <v>6</v>
      </c>
      <c r="AI10" s="51"/>
      <c r="AJ10" s="90"/>
    </row>
    <row r="11" spans="1:37" s="52" customFormat="1" ht="33.950000000000003" hidden="1" customHeight="1">
      <c r="A11" s="52" t="s">
        <v>660</v>
      </c>
      <c r="B11" s="78"/>
      <c r="C11" s="85" t="s">
        <v>430</v>
      </c>
      <c r="D11" s="79">
        <v>12</v>
      </c>
      <c r="E11" s="80" t="s">
        <v>428</v>
      </c>
      <c r="F11" s="81" t="s">
        <v>431</v>
      </c>
      <c r="G11" s="82" t="s">
        <v>683</v>
      </c>
      <c r="H11" s="82" t="s">
        <v>429</v>
      </c>
      <c r="I11" s="78" t="s">
        <v>684</v>
      </c>
      <c r="J11" s="78" t="s">
        <v>664</v>
      </c>
      <c r="K11" s="63" t="s">
        <v>685</v>
      </c>
      <c r="L11" s="63" t="s">
        <v>666</v>
      </c>
      <c r="M11" s="63"/>
      <c r="N11" s="67" t="s">
        <v>667</v>
      </c>
      <c r="O11" s="68" t="s">
        <v>686</v>
      </c>
      <c r="P11" s="69" t="s">
        <v>686</v>
      </c>
      <c r="Q11" s="70" t="s">
        <v>686</v>
      </c>
      <c r="R11" s="68" t="s">
        <v>686</v>
      </c>
      <c r="S11" s="71" t="s">
        <v>686</v>
      </c>
      <c r="T11" s="89" t="s">
        <v>686</v>
      </c>
      <c r="U11" s="89" t="s">
        <v>686</v>
      </c>
      <c r="V11" s="69" t="s">
        <v>686</v>
      </c>
      <c r="W11" s="68" t="s">
        <v>686</v>
      </c>
      <c r="X11" s="71" t="s">
        <v>686</v>
      </c>
      <c r="Y11" s="71" t="s">
        <v>686</v>
      </c>
      <c r="Z11" s="89" t="s">
        <v>686</v>
      </c>
      <c r="AA11" s="69" t="s">
        <v>686</v>
      </c>
      <c r="AB11" s="68" t="s">
        <v>686</v>
      </c>
      <c r="AC11" s="71" t="s">
        <v>686</v>
      </c>
      <c r="AD11" s="71" t="s">
        <v>686</v>
      </c>
      <c r="AE11" s="71" t="s">
        <v>686</v>
      </c>
      <c r="AF11" s="69" t="s">
        <v>686</v>
      </c>
      <c r="AG11" s="68" t="s">
        <v>686</v>
      </c>
      <c r="AH11" s="69" t="s">
        <v>686</v>
      </c>
      <c r="AI11" s="51"/>
      <c r="AJ11" s="86"/>
    </row>
    <row r="12" spans="1:37" s="52" customFormat="1" ht="33.950000000000003" customHeight="1">
      <c r="A12" s="106" t="s">
        <v>687</v>
      </c>
      <c r="B12" s="63" t="s">
        <v>688</v>
      </c>
      <c r="C12" s="114" t="s">
        <v>55</v>
      </c>
      <c r="D12" s="65">
        <v>12</v>
      </c>
      <c r="E12" s="64" t="s">
        <v>53</v>
      </c>
      <c r="F12" s="66" t="s">
        <v>431</v>
      </c>
      <c r="G12" s="72" t="s">
        <v>689</v>
      </c>
      <c r="H12" s="72" t="s">
        <v>54</v>
      </c>
      <c r="I12" s="63" t="s">
        <v>663</v>
      </c>
      <c r="J12" s="63" t="s">
        <v>20</v>
      </c>
      <c r="K12" s="63" t="s">
        <v>685</v>
      </c>
      <c r="L12" s="63" t="s">
        <v>666</v>
      </c>
      <c r="M12" s="63" t="s">
        <v>667</v>
      </c>
      <c r="N12" s="67" t="s">
        <v>667</v>
      </c>
      <c r="O12" s="68">
        <v>5</v>
      </c>
      <c r="P12" s="69">
        <v>5</v>
      </c>
      <c r="Q12" s="70">
        <v>5</v>
      </c>
      <c r="R12" s="68">
        <v>5</v>
      </c>
      <c r="S12" s="71">
        <v>5</v>
      </c>
      <c r="T12" s="89">
        <v>5</v>
      </c>
      <c r="U12" s="89">
        <v>0</v>
      </c>
      <c r="V12" s="69">
        <v>5</v>
      </c>
      <c r="W12" s="68">
        <v>5</v>
      </c>
      <c r="X12" s="71">
        <v>10</v>
      </c>
      <c r="Y12" s="71">
        <v>0</v>
      </c>
      <c r="Z12" s="89">
        <v>10</v>
      </c>
      <c r="AA12" s="69">
        <v>5</v>
      </c>
      <c r="AB12" s="68">
        <v>5</v>
      </c>
      <c r="AC12" s="71">
        <v>10</v>
      </c>
      <c r="AD12" s="71">
        <v>0</v>
      </c>
      <c r="AE12" s="71">
        <v>5</v>
      </c>
      <c r="AF12" s="69">
        <v>5</v>
      </c>
      <c r="AG12" s="68">
        <v>5</v>
      </c>
      <c r="AH12" s="69">
        <v>6</v>
      </c>
      <c r="AI12" s="51"/>
      <c r="AJ12" s="90"/>
    </row>
    <row r="13" spans="1:37" s="52" customFormat="1" ht="33.950000000000003" customHeight="1">
      <c r="A13" s="106" t="s">
        <v>680</v>
      </c>
      <c r="B13" s="63" t="s">
        <v>690</v>
      </c>
      <c r="C13" s="107" t="s">
        <v>691</v>
      </c>
      <c r="D13" s="65">
        <v>12</v>
      </c>
      <c r="E13" s="64" t="s">
        <v>311</v>
      </c>
      <c r="F13" s="66" t="s">
        <v>237</v>
      </c>
      <c r="G13" s="72" t="s">
        <v>692</v>
      </c>
      <c r="H13" s="72" t="s">
        <v>312</v>
      </c>
      <c r="I13" s="63" t="s">
        <v>663</v>
      </c>
      <c r="J13" s="63" t="s">
        <v>20</v>
      </c>
      <c r="K13" s="63" t="s">
        <v>685</v>
      </c>
      <c r="L13" s="63" t="s">
        <v>666</v>
      </c>
      <c r="M13" s="63" t="s">
        <v>666</v>
      </c>
      <c r="N13" s="67" t="s">
        <v>667</v>
      </c>
      <c r="O13" s="68">
        <v>5</v>
      </c>
      <c r="P13" s="69">
        <v>5</v>
      </c>
      <c r="Q13" s="70">
        <v>5</v>
      </c>
      <c r="R13" s="68">
        <v>5</v>
      </c>
      <c r="S13" s="71">
        <v>5</v>
      </c>
      <c r="T13" s="89">
        <v>5</v>
      </c>
      <c r="U13" s="89">
        <v>0</v>
      </c>
      <c r="V13" s="69">
        <v>5</v>
      </c>
      <c r="W13" s="68">
        <v>5</v>
      </c>
      <c r="X13" s="71">
        <v>10</v>
      </c>
      <c r="Y13" s="71">
        <v>0</v>
      </c>
      <c r="Z13" s="89">
        <v>0</v>
      </c>
      <c r="AA13" s="69">
        <v>5</v>
      </c>
      <c r="AB13" s="68">
        <v>5</v>
      </c>
      <c r="AC13" s="71">
        <v>10</v>
      </c>
      <c r="AD13" s="71">
        <v>0</v>
      </c>
      <c r="AE13" s="71">
        <v>5</v>
      </c>
      <c r="AF13" s="69">
        <v>5</v>
      </c>
      <c r="AG13" s="68">
        <v>5</v>
      </c>
      <c r="AH13" s="69">
        <v>6</v>
      </c>
      <c r="AI13" s="51"/>
      <c r="AJ13" s="90"/>
    </row>
    <row r="14" spans="1:37" s="52" customFormat="1" ht="33.950000000000003" hidden="1" customHeight="1">
      <c r="A14" s="52" t="s">
        <v>660</v>
      </c>
      <c r="B14" s="78" t="s">
        <v>661</v>
      </c>
      <c r="C14" s="85" t="s">
        <v>693</v>
      </c>
      <c r="D14" s="79">
        <v>12</v>
      </c>
      <c r="E14" s="80" t="s">
        <v>237</v>
      </c>
      <c r="F14" s="81" t="s">
        <v>431</v>
      </c>
      <c r="G14" s="82" t="s">
        <v>694</v>
      </c>
      <c r="H14" s="82" t="s">
        <v>238</v>
      </c>
      <c r="I14" s="78" t="s">
        <v>663</v>
      </c>
      <c r="J14" s="78" t="s">
        <v>664</v>
      </c>
      <c r="K14" s="63"/>
      <c r="L14" s="63"/>
      <c r="M14" s="63"/>
      <c r="N14" s="67" t="s">
        <v>667</v>
      </c>
      <c r="O14" s="68" t="s">
        <v>686</v>
      </c>
      <c r="P14" s="69" t="s">
        <v>686</v>
      </c>
      <c r="Q14" s="70" t="s">
        <v>686</v>
      </c>
      <c r="R14" s="68" t="s">
        <v>686</v>
      </c>
      <c r="S14" s="71" t="s">
        <v>686</v>
      </c>
      <c r="T14" s="89" t="s">
        <v>686</v>
      </c>
      <c r="U14" s="89" t="s">
        <v>686</v>
      </c>
      <c r="V14" s="69" t="s">
        <v>686</v>
      </c>
      <c r="W14" s="68" t="s">
        <v>686</v>
      </c>
      <c r="X14" s="71" t="s">
        <v>686</v>
      </c>
      <c r="Y14" s="71" t="s">
        <v>686</v>
      </c>
      <c r="Z14" s="89" t="s">
        <v>686</v>
      </c>
      <c r="AA14" s="69" t="s">
        <v>686</v>
      </c>
      <c r="AB14" s="68" t="s">
        <v>686</v>
      </c>
      <c r="AC14" s="71" t="s">
        <v>686</v>
      </c>
      <c r="AD14" s="71" t="s">
        <v>686</v>
      </c>
      <c r="AE14" s="71" t="s">
        <v>686</v>
      </c>
      <c r="AF14" s="69" t="s">
        <v>686</v>
      </c>
      <c r="AG14" s="68" t="s">
        <v>686</v>
      </c>
      <c r="AH14" s="69" t="s">
        <v>686</v>
      </c>
      <c r="AI14" s="51"/>
      <c r="AJ14" s="86"/>
    </row>
    <row r="15" spans="1:37" s="52" customFormat="1" ht="33.950000000000003" customHeight="1">
      <c r="A15" s="106" t="s">
        <v>675</v>
      </c>
      <c r="B15" s="63" t="s">
        <v>695</v>
      </c>
      <c r="C15" s="107" t="s">
        <v>557</v>
      </c>
      <c r="D15" s="65">
        <v>12</v>
      </c>
      <c r="E15" s="64" t="s">
        <v>555</v>
      </c>
      <c r="F15" s="66" t="s">
        <v>431</v>
      </c>
      <c r="G15" s="72" t="s">
        <v>696</v>
      </c>
      <c r="H15" s="72" t="s">
        <v>556</v>
      </c>
      <c r="I15" s="63" t="s">
        <v>663</v>
      </c>
      <c r="J15" s="63" t="s">
        <v>20</v>
      </c>
      <c r="K15" s="63" t="s">
        <v>685</v>
      </c>
      <c r="L15" s="63" t="s">
        <v>666</v>
      </c>
      <c r="M15" s="63" t="s">
        <v>667</v>
      </c>
      <c r="N15" s="67" t="s">
        <v>667</v>
      </c>
      <c r="O15" s="68">
        <v>5</v>
      </c>
      <c r="P15" s="69">
        <v>5</v>
      </c>
      <c r="Q15" s="70">
        <v>5</v>
      </c>
      <c r="R15" s="68">
        <v>5</v>
      </c>
      <c r="S15" s="71">
        <v>5</v>
      </c>
      <c r="T15" s="89">
        <v>5</v>
      </c>
      <c r="U15" s="89">
        <v>0</v>
      </c>
      <c r="V15" s="69">
        <v>5</v>
      </c>
      <c r="W15" s="68">
        <v>5</v>
      </c>
      <c r="X15" s="71">
        <v>10</v>
      </c>
      <c r="Y15" s="71">
        <v>0</v>
      </c>
      <c r="Z15" s="89">
        <v>0</v>
      </c>
      <c r="AA15" s="69">
        <v>5</v>
      </c>
      <c r="AB15" s="68">
        <v>5</v>
      </c>
      <c r="AC15" s="71">
        <v>10</v>
      </c>
      <c r="AD15" s="71">
        <v>0</v>
      </c>
      <c r="AE15" s="71">
        <v>5</v>
      </c>
      <c r="AF15" s="69">
        <v>5</v>
      </c>
      <c r="AG15" s="68">
        <v>5</v>
      </c>
      <c r="AH15" s="69">
        <v>6</v>
      </c>
      <c r="AI15" s="51"/>
      <c r="AJ15" s="90"/>
    </row>
    <row r="16" spans="1:37" s="52" customFormat="1" ht="33.950000000000003" customHeight="1">
      <c r="A16" s="106" t="s">
        <v>697</v>
      </c>
      <c r="B16" s="63" t="s">
        <v>698</v>
      </c>
      <c r="C16" s="107" t="s">
        <v>474</v>
      </c>
      <c r="D16" s="65">
        <v>12</v>
      </c>
      <c r="E16" s="64" t="s">
        <v>472</v>
      </c>
      <c r="F16" s="66" t="s">
        <v>431</v>
      </c>
      <c r="G16" s="72" t="s">
        <v>699</v>
      </c>
      <c r="H16" s="72" t="s">
        <v>473</v>
      </c>
      <c r="I16" s="63" t="s">
        <v>663</v>
      </c>
      <c r="J16" s="63" t="s">
        <v>20</v>
      </c>
      <c r="K16" s="63" t="s">
        <v>673</v>
      </c>
      <c r="L16" s="63" t="s">
        <v>666</v>
      </c>
      <c r="M16" s="63" t="s">
        <v>678</v>
      </c>
      <c r="N16" s="67" t="s">
        <v>667</v>
      </c>
      <c r="O16" s="68">
        <v>5</v>
      </c>
      <c r="P16" s="69">
        <v>5</v>
      </c>
      <c r="Q16" s="70">
        <v>5</v>
      </c>
      <c r="R16" s="68">
        <v>5</v>
      </c>
      <c r="S16" s="71">
        <v>5</v>
      </c>
      <c r="T16" s="89">
        <v>5</v>
      </c>
      <c r="U16" s="89">
        <v>0</v>
      </c>
      <c r="V16" s="69">
        <v>5</v>
      </c>
      <c r="W16" s="68">
        <v>5</v>
      </c>
      <c r="X16" s="71">
        <v>10</v>
      </c>
      <c r="Y16" s="71">
        <v>0</v>
      </c>
      <c r="Z16" s="89">
        <v>10</v>
      </c>
      <c r="AA16" s="69">
        <v>5</v>
      </c>
      <c r="AB16" s="68">
        <v>6</v>
      </c>
      <c r="AC16" s="71">
        <v>6</v>
      </c>
      <c r="AD16" s="71">
        <v>6</v>
      </c>
      <c r="AE16" s="71">
        <v>5</v>
      </c>
      <c r="AF16" s="69">
        <v>5</v>
      </c>
      <c r="AG16" s="68">
        <v>5</v>
      </c>
      <c r="AH16" s="69">
        <v>6</v>
      </c>
      <c r="AI16" s="51"/>
      <c r="AJ16" s="90"/>
    </row>
    <row r="17" spans="1:36" s="52" customFormat="1" ht="33.950000000000003" customHeight="1">
      <c r="A17" s="106" t="s">
        <v>687</v>
      </c>
      <c r="B17" s="63" t="s">
        <v>700</v>
      </c>
      <c r="C17" s="114" t="s">
        <v>439</v>
      </c>
      <c r="D17" s="65">
        <v>12</v>
      </c>
      <c r="E17" s="64" t="s">
        <v>437</v>
      </c>
      <c r="F17" s="66" t="s">
        <v>431</v>
      </c>
      <c r="G17" s="72" t="s">
        <v>701</v>
      </c>
      <c r="H17" s="72" t="s">
        <v>438</v>
      </c>
      <c r="I17" s="63" t="s">
        <v>663</v>
      </c>
      <c r="J17" s="63" t="s">
        <v>20</v>
      </c>
      <c r="K17" s="63" t="s">
        <v>665</v>
      </c>
      <c r="L17" s="63" t="s">
        <v>666</v>
      </c>
      <c r="M17" s="63" t="s">
        <v>667</v>
      </c>
      <c r="N17" s="67" t="s">
        <v>667</v>
      </c>
      <c r="O17" s="68">
        <v>5</v>
      </c>
      <c r="P17" s="69">
        <v>5</v>
      </c>
      <c r="Q17" s="70">
        <v>5</v>
      </c>
      <c r="R17" s="68">
        <v>5</v>
      </c>
      <c r="S17" s="71">
        <v>5</v>
      </c>
      <c r="T17" s="89">
        <v>5</v>
      </c>
      <c r="U17" s="89">
        <v>0</v>
      </c>
      <c r="V17" s="69">
        <v>5</v>
      </c>
      <c r="W17" s="68">
        <v>5</v>
      </c>
      <c r="X17" s="71">
        <v>10</v>
      </c>
      <c r="Y17" s="71">
        <v>0</v>
      </c>
      <c r="Z17" s="89">
        <v>10</v>
      </c>
      <c r="AA17" s="69">
        <v>5</v>
      </c>
      <c r="AB17" s="68">
        <v>5</v>
      </c>
      <c r="AC17" s="71">
        <v>10</v>
      </c>
      <c r="AD17" s="71">
        <v>0</v>
      </c>
      <c r="AE17" s="71">
        <v>5</v>
      </c>
      <c r="AF17" s="69">
        <v>5</v>
      </c>
      <c r="AG17" s="68">
        <v>5</v>
      </c>
      <c r="AH17" s="69">
        <v>6</v>
      </c>
      <c r="AI17" s="51"/>
      <c r="AJ17" s="90"/>
    </row>
    <row r="18" spans="1:36" s="52" customFormat="1" ht="33.950000000000003" customHeight="1">
      <c r="A18" s="106" t="s">
        <v>687</v>
      </c>
      <c r="B18" s="63" t="s">
        <v>702</v>
      </c>
      <c r="C18" s="114" t="s">
        <v>530</v>
      </c>
      <c r="D18" s="65">
        <v>12</v>
      </c>
      <c r="E18" s="64" t="s">
        <v>528</v>
      </c>
      <c r="F18" s="66" t="s">
        <v>431</v>
      </c>
      <c r="G18" s="72" t="s">
        <v>703</v>
      </c>
      <c r="H18" s="72" t="s">
        <v>529</v>
      </c>
      <c r="I18" s="63" t="s">
        <v>663</v>
      </c>
      <c r="J18" s="63" t="s">
        <v>20</v>
      </c>
      <c r="K18" s="63" t="s">
        <v>704</v>
      </c>
      <c r="L18" s="63" t="s">
        <v>666</v>
      </c>
      <c r="M18" s="63" t="s">
        <v>667</v>
      </c>
      <c r="N18" s="67" t="s">
        <v>667</v>
      </c>
      <c r="O18" s="68">
        <v>5</v>
      </c>
      <c r="P18" s="69">
        <v>5</v>
      </c>
      <c r="Q18" s="70">
        <v>5</v>
      </c>
      <c r="R18" s="68">
        <v>5</v>
      </c>
      <c r="S18" s="71">
        <v>5</v>
      </c>
      <c r="T18" s="89">
        <v>5</v>
      </c>
      <c r="U18" s="89">
        <v>0</v>
      </c>
      <c r="V18" s="69">
        <v>5</v>
      </c>
      <c r="W18" s="68">
        <v>5</v>
      </c>
      <c r="X18" s="71">
        <v>10</v>
      </c>
      <c r="Y18" s="71">
        <v>0</v>
      </c>
      <c r="Z18" s="89">
        <v>10</v>
      </c>
      <c r="AA18" s="69">
        <v>5</v>
      </c>
      <c r="AB18" s="68">
        <v>5</v>
      </c>
      <c r="AC18" s="71">
        <v>10</v>
      </c>
      <c r="AD18" s="71">
        <v>0</v>
      </c>
      <c r="AE18" s="71">
        <v>5</v>
      </c>
      <c r="AF18" s="69">
        <v>5</v>
      </c>
      <c r="AG18" s="68">
        <v>5</v>
      </c>
      <c r="AH18" s="69">
        <v>6</v>
      </c>
      <c r="AI18" s="51"/>
      <c r="AJ18" s="90"/>
    </row>
    <row r="19" spans="1:36" s="52" customFormat="1" ht="33.950000000000003" customHeight="1">
      <c r="A19" s="106" t="s">
        <v>669</v>
      </c>
      <c r="B19" s="63" t="s">
        <v>705</v>
      </c>
      <c r="C19" s="107" t="s">
        <v>459</v>
      </c>
      <c r="D19" s="65">
        <v>12</v>
      </c>
      <c r="E19" s="64" t="s">
        <v>457</v>
      </c>
      <c r="F19" s="66" t="s">
        <v>431</v>
      </c>
      <c r="G19" s="72" t="s">
        <v>706</v>
      </c>
      <c r="H19" s="72" t="s">
        <v>458</v>
      </c>
      <c r="I19" s="63" t="s">
        <v>663</v>
      </c>
      <c r="J19" s="63" t="s">
        <v>20</v>
      </c>
      <c r="K19" s="63" t="s">
        <v>665</v>
      </c>
      <c r="L19" s="63" t="s">
        <v>666</v>
      </c>
      <c r="M19" s="63" t="s">
        <v>678</v>
      </c>
      <c r="N19" s="67" t="s">
        <v>667</v>
      </c>
      <c r="O19" s="68">
        <v>5</v>
      </c>
      <c r="P19" s="69">
        <v>5</v>
      </c>
      <c r="Q19" s="70">
        <v>5</v>
      </c>
      <c r="R19" s="68">
        <v>5</v>
      </c>
      <c r="S19" s="71">
        <v>5</v>
      </c>
      <c r="T19" s="89">
        <v>5</v>
      </c>
      <c r="U19" s="89">
        <v>0</v>
      </c>
      <c r="V19" s="69">
        <v>5</v>
      </c>
      <c r="W19" s="68">
        <v>5</v>
      </c>
      <c r="X19" s="71">
        <v>10</v>
      </c>
      <c r="Y19" s="71">
        <v>0</v>
      </c>
      <c r="Z19" s="89">
        <v>10</v>
      </c>
      <c r="AA19" s="69">
        <v>5</v>
      </c>
      <c r="AB19" s="68">
        <v>6</v>
      </c>
      <c r="AC19" s="71">
        <v>6</v>
      </c>
      <c r="AD19" s="71">
        <v>6</v>
      </c>
      <c r="AE19" s="71">
        <v>5</v>
      </c>
      <c r="AF19" s="69">
        <v>5</v>
      </c>
      <c r="AG19" s="68">
        <v>5</v>
      </c>
      <c r="AH19" s="69">
        <v>6</v>
      </c>
      <c r="AI19" s="51"/>
      <c r="AJ19" s="90"/>
    </row>
    <row r="20" spans="1:36" s="52" customFormat="1" ht="33.950000000000003" customHeight="1">
      <c r="A20" s="106" t="s">
        <v>697</v>
      </c>
      <c r="B20" s="63" t="s">
        <v>707</v>
      </c>
      <c r="C20" s="107" t="s">
        <v>479</v>
      </c>
      <c r="D20" s="65">
        <v>12</v>
      </c>
      <c r="E20" s="64" t="s">
        <v>477</v>
      </c>
      <c r="F20" s="66" t="s">
        <v>431</v>
      </c>
      <c r="G20" s="72" t="s">
        <v>708</v>
      </c>
      <c r="H20" s="72" t="s">
        <v>478</v>
      </c>
      <c r="I20" s="63" t="s">
        <v>663</v>
      </c>
      <c r="J20" s="63" t="s">
        <v>20</v>
      </c>
      <c r="K20" s="63" t="s">
        <v>665</v>
      </c>
      <c r="L20" s="63" t="s">
        <v>666</v>
      </c>
      <c r="M20" s="63" t="s">
        <v>667</v>
      </c>
      <c r="N20" s="67" t="s">
        <v>667</v>
      </c>
      <c r="O20" s="68">
        <v>5</v>
      </c>
      <c r="P20" s="69">
        <v>5</v>
      </c>
      <c r="Q20" s="70">
        <v>5</v>
      </c>
      <c r="R20" s="68">
        <v>5</v>
      </c>
      <c r="S20" s="71">
        <v>5</v>
      </c>
      <c r="T20" s="89">
        <v>5</v>
      </c>
      <c r="U20" s="89">
        <v>0</v>
      </c>
      <c r="V20" s="69">
        <v>5</v>
      </c>
      <c r="W20" s="68">
        <v>5</v>
      </c>
      <c r="X20" s="71">
        <v>10</v>
      </c>
      <c r="Y20" s="71">
        <v>0</v>
      </c>
      <c r="Z20" s="89">
        <v>10</v>
      </c>
      <c r="AA20" s="69">
        <v>5</v>
      </c>
      <c r="AB20" s="68">
        <v>5</v>
      </c>
      <c r="AC20" s="71">
        <v>10</v>
      </c>
      <c r="AD20" s="71">
        <v>0</v>
      </c>
      <c r="AE20" s="71">
        <v>5</v>
      </c>
      <c r="AF20" s="69">
        <v>5</v>
      </c>
      <c r="AG20" s="68">
        <v>5</v>
      </c>
      <c r="AH20" s="69">
        <v>6</v>
      </c>
      <c r="AI20" s="51"/>
      <c r="AJ20" s="90"/>
    </row>
    <row r="21" spans="1:36" s="52" customFormat="1" ht="33.950000000000003" customHeight="1">
      <c r="A21" s="106" t="s">
        <v>709</v>
      </c>
      <c r="B21" s="63" t="s">
        <v>710</v>
      </c>
      <c r="C21" s="107" t="s">
        <v>18</v>
      </c>
      <c r="D21" s="65">
        <v>12</v>
      </c>
      <c r="E21" s="64" t="s">
        <v>14</v>
      </c>
      <c r="F21" s="66" t="s">
        <v>431</v>
      </c>
      <c r="G21" s="72" t="s">
        <v>711</v>
      </c>
      <c r="H21" s="72" t="s">
        <v>712</v>
      </c>
      <c r="I21" s="63" t="s">
        <v>663</v>
      </c>
      <c r="J21" s="63" t="s">
        <v>20</v>
      </c>
      <c r="K21" s="63" t="s">
        <v>665</v>
      </c>
      <c r="L21" s="63" t="s">
        <v>666</v>
      </c>
      <c r="M21" s="63" t="s">
        <v>678</v>
      </c>
      <c r="N21" s="67" t="s">
        <v>667</v>
      </c>
      <c r="O21" s="68">
        <v>5</v>
      </c>
      <c r="P21" s="69">
        <v>5</v>
      </c>
      <c r="Q21" s="70">
        <v>5</v>
      </c>
      <c r="R21" s="68">
        <v>5</v>
      </c>
      <c r="S21" s="71">
        <v>5</v>
      </c>
      <c r="T21" s="89">
        <v>5</v>
      </c>
      <c r="U21" s="89">
        <v>0</v>
      </c>
      <c r="V21" s="69">
        <v>5</v>
      </c>
      <c r="W21" s="68">
        <v>5</v>
      </c>
      <c r="X21" s="71">
        <v>10</v>
      </c>
      <c r="Y21" s="71">
        <v>0</v>
      </c>
      <c r="Z21" s="89">
        <v>0</v>
      </c>
      <c r="AA21" s="69">
        <v>5</v>
      </c>
      <c r="AB21" s="68">
        <v>6</v>
      </c>
      <c r="AC21" s="71">
        <v>6</v>
      </c>
      <c r="AD21" s="71">
        <v>6</v>
      </c>
      <c r="AE21" s="71">
        <v>5</v>
      </c>
      <c r="AF21" s="69">
        <v>5</v>
      </c>
      <c r="AG21" s="68">
        <v>5</v>
      </c>
      <c r="AH21" s="69">
        <v>6</v>
      </c>
      <c r="AI21" s="51"/>
      <c r="AJ21" s="90"/>
    </row>
    <row r="22" spans="1:36" s="52" customFormat="1" ht="33.950000000000003" customHeight="1">
      <c r="A22" s="106" t="s">
        <v>713</v>
      </c>
      <c r="B22" s="93" t="s">
        <v>714</v>
      </c>
      <c r="C22" s="107" t="s">
        <v>137</v>
      </c>
      <c r="D22" s="65">
        <v>12</v>
      </c>
      <c r="E22" s="64" t="s">
        <v>135</v>
      </c>
      <c r="F22" s="66" t="s">
        <v>206</v>
      </c>
      <c r="G22" s="72" t="s">
        <v>715</v>
      </c>
      <c r="H22" s="72" t="s">
        <v>136</v>
      </c>
      <c r="I22" s="63" t="s">
        <v>663</v>
      </c>
      <c r="J22" s="63" t="s">
        <v>20</v>
      </c>
      <c r="K22" s="63" t="s">
        <v>685</v>
      </c>
      <c r="L22" s="63" t="s">
        <v>666</v>
      </c>
      <c r="M22" s="63" t="s">
        <v>666</v>
      </c>
      <c r="N22" s="67" t="s">
        <v>667</v>
      </c>
      <c r="O22" s="68">
        <v>5</v>
      </c>
      <c r="P22" s="69">
        <v>5</v>
      </c>
      <c r="Q22" s="70">
        <v>5</v>
      </c>
      <c r="R22" s="68">
        <v>5</v>
      </c>
      <c r="S22" s="71">
        <v>5</v>
      </c>
      <c r="T22" s="89">
        <v>5</v>
      </c>
      <c r="U22" s="89">
        <v>0</v>
      </c>
      <c r="V22" s="69">
        <v>5</v>
      </c>
      <c r="W22" s="68">
        <v>5</v>
      </c>
      <c r="X22" s="71">
        <v>0</v>
      </c>
      <c r="Y22" s="71">
        <v>0</v>
      </c>
      <c r="Z22" s="89">
        <v>0</v>
      </c>
      <c r="AA22" s="69">
        <v>5</v>
      </c>
      <c r="AB22" s="68">
        <v>5</v>
      </c>
      <c r="AC22" s="71">
        <v>10</v>
      </c>
      <c r="AD22" s="71">
        <v>0</v>
      </c>
      <c r="AE22" s="71">
        <v>5</v>
      </c>
      <c r="AF22" s="69">
        <v>5</v>
      </c>
      <c r="AG22" s="68">
        <v>5</v>
      </c>
      <c r="AH22" s="69">
        <v>6</v>
      </c>
      <c r="AI22" s="51"/>
      <c r="AJ22" s="90"/>
    </row>
    <row r="23" spans="1:36" s="52" customFormat="1" ht="33.950000000000003" customHeight="1">
      <c r="A23" s="106" t="s">
        <v>713</v>
      </c>
      <c r="B23" s="63" t="s">
        <v>716</v>
      </c>
      <c r="C23" s="107" t="s">
        <v>204</v>
      </c>
      <c r="D23" s="65">
        <v>12</v>
      </c>
      <c r="E23" s="64" t="s">
        <v>202</v>
      </c>
      <c r="F23" s="66" t="s">
        <v>431</v>
      </c>
      <c r="G23" s="72" t="s">
        <v>715</v>
      </c>
      <c r="H23" s="72" t="s">
        <v>717</v>
      </c>
      <c r="I23" s="63" t="s">
        <v>663</v>
      </c>
      <c r="J23" s="63" t="s">
        <v>20</v>
      </c>
      <c r="K23" s="63" t="s">
        <v>685</v>
      </c>
      <c r="L23" s="63" t="s">
        <v>666</v>
      </c>
      <c r="M23" s="63" t="s">
        <v>666</v>
      </c>
      <c r="N23" s="67" t="s">
        <v>667</v>
      </c>
      <c r="O23" s="68">
        <v>5</v>
      </c>
      <c r="P23" s="69">
        <v>5</v>
      </c>
      <c r="Q23" s="70">
        <v>5</v>
      </c>
      <c r="R23" s="68">
        <v>5</v>
      </c>
      <c r="S23" s="71">
        <v>5</v>
      </c>
      <c r="T23" s="89">
        <v>5</v>
      </c>
      <c r="U23" s="89">
        <v>0</v>
      </c>
      <c r="V23" s="69">
        <v>5</v>
      </c>
      <c r="W23" s="68">
        <v>5</v>
      </c>
      <c r="X23" s="71">
        <v>0</v>
      </c>
      <c r="Y23" s="71">
        <v>0</v>
      </c>
      <c r="Z23" s="89">
        <v>0</v>
      </c>
      <c r="AA23" s="69">
        <v>5</v>
      </c>
      <c r="AB23" s="68">
        <v>5</v>
      </c>
      <c r="AC23" s="71">
        <v>10</v>
      </c>
      <c r="AD23" s="71">
        <v>0</v>
      </c>
      <c r="AE23" s="71">
        <v>5</v>
      </c>
      <c r="AF23" s="69">
        <v>5</v>
      </c>
      <c r="AG23" s="68">
        <v>5</v>
      </c>
      <c r="AH23" s="69">
        <v>6</v>
      </c>
      <c r="AI23" s="51"/>
      <c r="AJ23" s="90"/>
    </row>
    <row r="24" spans="1:36" s="52" customFormat="1" ht="33.950000000000003" customHeight="1">
      <c r="A24" s="106" t="s">
        <v>675</v>
      </c>
      <c r="B24" s="63" t="s">
        <v>718</v>
      </c>
      <c r="C24" s="107" t="s">
        <v>89</v>
      </c>
      <c r="D24" s="65">
        <v>12</v>
      </c>
      <c r="E24" s="64" t="s">
        <v>112</v>
      </c>
      <c r="F24" s="66" t="s">
        <v>87</v>
      </c>
      <c r="G24" s="72" t="s">
        <v>719</v>
      </c>
      <c r="H24" s="72" t="s">
        <v>113</v>
      </c>
      <c r="I24" s="63" t="s">
        <v>663</v>
      </c>
      <c r="J24" s="63" t="s">
        <v>20</v>
      </c>
      <c r="K24" s="63" t="s">
        <v>704</v>
      </c>
      <c r="L24" s="63" t="s">
        <v>666</v>
      </c>
      <c r="M24" s="63" t="s">
        <v>666</v>
      </c>
      <c r="N24" s="67" t="s">
        <v>667</v>
      </c>
      <c r="O24" s="68">
        <v>5</v>
      </c>
      <c r="P24" s="69">
        <v>5</v>
      </c>
      <c r="Q24" s="70">
        <v>5</v>
      </c>
      <c r="R24" s="68">
        <v>5</v>
      </c>
      <c r="S24" s="71">
        <v>5</v>
      </c>
      <c r="T24" s="89">
        <v>5</v>
      </c>
      <c r="U24" s="89">
        <v>0</v>
      </c>
      <c r="V24" s="69">
        <v>5</v>
      </c>
      <c r="W24" s="68">
        <v>5</v>
      </c>
      <c r="X24" s="71">
        <v>10</v>
      </c>
      <c r="Y24" s="71">
        <v>0</v>
      </c>
      <c r="Z24" s="89">
        <v>0</v>
      </c>
      <c r="AA24" s="69">
        <v>5</v>
      </c>
      <c r="AB24" s="68">
        <v>5</v>
      </c>
      <c r="AC24" s="71">
        <v>10</v>
      </c>
      <c r="AD24" s="71">
        <v>10</v>
      </c>
      <c r="AE24" s="71">
        <v>5</v>
      </c>
      <c r="AF24" s="69">
        <v>5</v>
      </c>
      <c r="AG24" s="68">
        <v>5</v>
      </c>
      <c r="AH24" s="69">
        <v>6</v>
      </c>
      <c r="AI24" s="51"/>
      <c r="AJ24" s="90"/>
    </row>
    <row r="25" spans="1:36" s="52" customFormat="1" ht="33.950000000000003" customHeight="1">
      <c r="A25" s="106" t="s">
        <v>713</v>
      </c>
      <c r="B25" s="63" t="s">
        <v>720</v>
      </c>
      <c r="C25" s="107" t="s">
        <v>418</v>
      </c>
      <c r="D25" s="65">
        <v>12</v>
      </c>
      <c r="E25" s="64" t="s">
        <v>416</v>
      </c>
      <c r="F25" s="66" t="s">
        <v>431</v>
      </c>
      <c r="G25" s="72" t="s">
        <v>721</v>
      </c>
      <c r="H25" s="72" t="s">
        <v>417</v>
      </c>
      <c r="I25" s="63" t="s">
        <v>663</v>
      </c>
      <c r="J25" s="63" t="s">
        <v>20</v>
      </c>
      <c r="K25" s="63" t="s">
        <v>704</v>
      </c>
      <c r="L25" s="63" t="s">
        <v>666</v>
      </c>
      <c r="M25" s="63" t="s">
        <v>667</v>
      </c>
      <c r="N25" s="67" t="s">
        <v>667</v>
      </c>
      <c r="O25" s="68">
        <v>5</v>
      </c>
      <c r="P25" s="69">
        <v>5</v>
      </c>
      <c r="Q25" s="70">
        <v>5</v>
      </c>
      <c r="R25" s="68">
        <v>5</v>
      </c>
      <c r="S25" s="71">
        <v>5</v>
      </c>
      <c r="T25" s="89">
        <v>5</v>
      </c>
      <c r="U25" s="89">
        <v>0</v>
      </c>
      <c r="V25" s="69">
        <v>5</v>
      </c>
      <c r="W25" s="68">
        <v>5</v>
      </c>
      <c r="X25" s="71">
        <v>10</v>
      </c>
      <c r="Y25" s="71">
        <v>0</v>
      </c>
      <c r="Z25" s="89">
        <v>0</v>
      </c>
      <c r="AA25" s="69">
        <v>5</v>
      </c>
      <c r="AB25" s="68">
        <v>5</v>
      </c>
      <c r="AC25" s="71">
        <v>10</v>
      </c>
      <c r="AD25" s="71">
        <v>0</v>
      </c>
      <c r="AE25" s="71">
        <v>5</v>
      </c>
      <c r="AF25" s="69">
        <v>5</v>
      </c>
      <c r="AG25" s="68">
        <v>5</v>
      </c>
      <c r="AH25" s="69">
        <v>6</v>
      </c>
      <c r="AI25" s="51"/>
      <c r="AJ25" s="90"/>
    </row>
    <row r="26" spans="1:36" s="52" customFormat="1" ht="33.950000000000003" customHeight="1">
      <c r="A26" s="106" t="s">
        <v>713</v>
      </c>
      <c r="B26" s="63" t="s">
        <v>722</v>
      </c>
      <c r="C26" s="107" t="s">
        <v>397</v>
      </c>
      <c r="D26" s="65">
        <v>12</v>
      </c>
      <c r="E26" s="64" t="s">
        <v>395</v>
      </c>
      <c r="F26" s="66" t="s">
        <v>431</v>
      </c>
      <c r="G26" s="72" t="s">
        <v>723</v>
      </c>
      <c r="H26" s="72" t="s">
        <v>396</v>
      </c>
      <c r="I26" s="63" t="s">
        <v>663</v>
      </c>
      <c r="J26" s="63" t="s">
        <v>20</v>
      </c>
      <c r="K26" s="63" t="s">
        <v>704</v>
      </c>
      <c r="L26" s="63" t="s">
        <v>666</v>
      </c>
      <c r="M26" s="63" t="s">
        <v>667</v>
      </c>
      <c r="N26" s="67" t="s">
        <v>667</v>
      </c>
      <c r="O26" s="68">
        <v>5</v>
      </c>
      <c r="P26" s="69">
        <v>5</v>
      </c>
      <c r="Q26" s="70">
        <v>5</v>
      </c>
      <c r="R26" s="68">
        <v>5</v>
      </c>
      <c r="S26" s="71">
        <v>5</v>
      </c>
      <c r="T26" s="89">
        <v>5</v>
      </c>
      <c r="U26" s="89">
        <v>0</v>
      </c>
      <c r="V26" s="69">
        <v>5</v>
      </c>
      <c r="W26" s="68">
        <v>5</v>
      </c>
      <c r="X26" s="71">
        <v>10</v>
      </c>
      <c r="Y26" s="71">
        <v>0</v>
      </c>
      <c r="Z26" s="89">
        <v>10</v>
      </c>
      <c r="AA26" s="69">
        <v>5</v>
      </c>
      <c r="AB26" s="68">
        <v>5</v>
      </c>
      <c r="AC26" s="71">
        <v>10</v>
      </c>
      <c r="AD26" s="71">
        <v>0</v>
      </c>
      <c r="AE26" s="71">
        <v>5</v>
      </c>
      <c r="AF26" s="69">
        <v>5</v>
      </c>
      <c r="AG26" s="68">
        <v>5</v>
      </c>
      <c r="AH26" s="69">
        <v>6</v>
      </c>
      <c r="AI26" s="51"/>
      <c r="AJ26" s="90"/>
    </row>
    <row r="27" spans="1:36" s="52" customFormat="1" ht="33.950000000000003" customHeight="1">
      <c r="A27" s="106" t="s">
        <v>713</v>
      </c>
      <c r="B27" s="63" t="s">
        <v>724</v>
      </c>
      <c r="C27" s="107" t="s">
        <v>506</v>
      </c>
      <c r="D27" s="65">
        <v>12</v>
      </c>
      <c r="E27" s="64" t="s">
        <v>504</v>
      </c>
      <c r="F27" s="66" t="s">
        <v>431</v>
      </c>
      <c r="G27" s="72" t="s">
        <v>725</v>
      </c>
      <c r="H27" s="72" t="s">
        <v>505</v>
      </c>
      <c r="I27" s="63" t="s">
        <v>663</v>
      </c>
      <c r="J27" s="63" t="s">
        <v>20</v>
      </c>
      <c r="K27" s="63" t="s">
        <v>704</v>
      </c>
      <c r="L27" s="63" t="s">
        <v>666</v>
      </c>
      <c r="M27" s="63" t="s">
        <v>667</v>
      </c>
      <c r="N27" s="67" t="s">
        <v>667</v>
      </c>
      <c r="O27" s="68">
        <v>5</v>
      </c>
      <c r="P27" s="69">
        <v>5</v>
      </c>
      <c r="Q27" s="70">
        <v>5</v>
      </c>
      <c r="R27" s="68">
        <v>5</v>
      </c>
      <c r="S27" s="71">
        <v>5</v>
      </c>
      <c r="T27" s="89">
        <v>5</v>
      </c>
      <c r="U27" s="89">
        <v>0</v>
      </c>
      <c r="V27" s="69">
        <v>5</v>
      </c>
      <c r="W27" s="68">
        <v>5</v>
      </c>
      <c r="X27" s="71">
        <v>10</v>
      </c>
      <c r="Y27" s="71">
        <v>0</v>
      </c>
      <c r="Z27" s="108">
        <v>10</v>
      </c>
      <c r="AA27" s="69">
        <v>5</v>
      </c>
      <c r="AB27" s="68">
        <v>5</v>
      </c>
      <c r="AC27" s="71">
        <v>10</v>
      </c>
      <c r="AD27" s="71">
        <v>0</v>
      </c>
      <c r="AE27" s="71">
        <v>5</v>
      </c>
      <c r="AF27" s="69">
        <v>5</v>
      </c>
      <c r="AG27" s="68">
        <v>5</v>
      </c>
      <c r="AH27" s="69">
        <v>6</v>
      </c>
      <c r="AI27" s="51"/>
      <c r="AJ27" s="90"/>
    </row>
    <row r="28" spans="1:36" s="52" customFormat="1" ht="33.950000000000003" customHeight="1">
      <c r="A28" s="106" t="s">
        <v>713</v>
      </c>
      <c r="B28" s="63" t="s">
        <v>726</v>
      </c>
      <c r="C28" s="107" t="s">
        <v>727</v>
      </c>
      <c r="D28" s="65">
        <v>12</v>
      </c>
      <c r="E28" s="64" t="s">
        <v>428</v>
      </c>
      <c r="F28" s="66" t="s">
        <v>431</v>
      </c>
      <c r="G28" s="72" t="s">
        <v>683</v>
      </c>
      <c r="H28" s="72" t="s">
        <v>429</v>
      </c>
      <c r="I28" s="63" t="s">
        <v>684</v>
      </c>
      <c r="J28" s="63" t="s">
        <v>20</v>
      </c>
      <c r="K28" s="63" t="s">
        <v>704</v>
      </c>
      <c r="L28" s="63" t="s">
        <v>666</v>
      </c>
      <c r="M28" s="63" t="s">
        <v>667</v>
      </c>
      <c r="N28" s="67" t="s">
        <v>667</v>
      </c>
      <c r="O28" s="68">
        <v>5</v>
      </c>
      <c r="P28" s="69">
        <v>5</v>
      </c>
      <c r="Q28" s="70">
        <v>5</v>
      </c>
      <c r="R28" s="68">
        <v>5</v>
      </c>
      <c r="S28" s="71">
        <v>5</v>
      </c>
      <c r="T28" s="89">
        <v>5</v>
      </c>
      <c r="U28" s="89">
        <v>0</v>
      </c>
      <c r="V28" s="69">
        <v>5</v>
      </c>
      <c r="W28" s="68">
        <v>5</v>
      </c>
      <c r="X28" s="71">
        <v>0</v>
      </c>
      <c r="Y28" s="71">
        <v>0</v>
      </c>
      <c r="Z28" s="89">
        <v>0</v>
      </c>
      <c r="AA28" s="69">
        <v>5</v>
      </c>
      <c r="AB28" s="68">
        <v>5</v>
      </c>
      <c r="AC28" s="71">
        <v>10</v>
      </c>
      <c r="AD28" s="71">
        <v>0</v>
      </c>
      <c r="AE28" s="71">
        <v>5</v>
      </c>
      <c r="AF28" s="69">
        <v>5</v>
      </c>
      <c r="AG28" s="68">
        <v>5</v>
      </c>
      <c r="AH28" s="69">
        <v>6</v>
      </c>
      <c r="AI28" s="51"/>
      <c r="AJ28" s="90"/>
    </row>
    <row r="29" spans="1:36" s="52" customFormat="1" ht="33.950000000000003" customHeight="1">
      <c r="A29" s="106" t="s">
        <v>675</v>
      </c>
      <c r="B29" s="63" t="s">
        <v>695</v>
      </c>
      <c r="C29" s="107" t="s">
        <v>728</v>
      </c>
      <c r="D29" s="65">
        <v>12</v>
      </c>
      <c r="E29" s="64" t="s">
        <v>600</v>
      </c>
      <c r="F29" s="66" t="s">
        <v>431</v>
      </c>
      <c r="G29" s="72" t="s">
        <v>696</v>
      </c>
      <c r="H29" s="72" t="s">
        <v>601</v>
      </c>
      <c r="I29" s="63" t="s">
        <v>663</v>
      </c>
      <c r="J29" s="63" t="s">
        <v>20</v>
      </c>
      <c r="K29" s="63" t="s">
        <v>685</v>
      </c>
      <c r="L29" s="63" t="s">
        <v>666</v>
      </c>
      <c r="M29" s="63" t="s">
        <v>667</v>
      </c>
      <c r="N29" s="67" t="s">
        <v>667</v>
      </c>
      <c r="O29" s="68">
        <v>5</v>
      </c>
      <c r="P29" s="69">
        <v>5</v>
      </c>
      <c r="Q29" s="70">
        <v>5</v>
      </c>
      <c r="R29" s="68">
        <v>5</v>
      </c>
      <c r="S29" s="71">
        <v>5</v>
      </c>
      <c r="T29" s="89">
        <v>5</v>
      </c>
      <c r="U29" s="89">
        <v>0</v>
      </c>
      <c r="V29" s="69">
        <v>5</v>
      </c>
      <c r="W29" s="68">
        <v>5</v>
      </c>
      <c r="X29" s="71">
        <v>10</v>
      </c>
      <c r="Y29" s="71">
        <v>0</v>
      </c>
      <c r="Z29" s="89">
        <v>0</v>
      </c>
      <c r="AA29" s="69">
        <v>5</v>
      </c>
      <c r="AB29" s="68">
        <v>5</v>
      </c>
      <c r="AC29" s="71">
        <v>10</v>
      </c>
      <c r="AD29" s="71">
        <v>0</v>
      </c>
      <c r="AE29" s="71">
        <v>5</v>
      </c>
      <c r="AF29" s="69">
        <v>5</v>
      </c>
      <c r="AG29" s="68">
        <v>5</v>
      </c>
      <c r="AH29" s="69">
        <v>6</v>
      </c>
      <c r="AI29" s="51"/>
      <c r="AJ29" s="90"/>
    </row>
    <row r="30" spans="1:36" s="52" customFormat="1" ht="33.950000000000003" customHeight="1">
      <c r="A30" s="106" t="s">
        <v>675</v>
      </c>
      <c r="B30" s="63" t="s">
        <v>729</v>
      </c>
      <c r="C30" s="107" t="s">
        <v>485</v>
      </c>
      <c r="D30" s="65">
        <v>12</v>
      </c>
      <c r="E30" s="64" t="s">
        <v>483</v>
      </c>
      <c r="F30" s="66" t="s">
        <v>431</v>
      </c>
      <c r="G30" s="72" t="s">
        <v>730</v>
      </c>
      <c r="H30" s="72" t="s">
        <v>484</v>
      </c>
      <c r="I30" s="63" t="s">
        <v>663</v>
      </c>
      <c r="J30" s="63" t="s">
        <v>20</v>
      </c>
      <c r="K30" s="63" t="s">
        <v>704</v>
      </c>
      <c r="L30" s="63" t="s">
        <v>666</v>
      </c>
      <c r="M30" s="63" t="s">
        <v>678</v>
      </c>
      <c r="N30" s="67" t="s">
        <v>667</v>
      </c>
      <c r="O30" s="68">
        <v>5</v>
      </c>
      <c r="P30" s="69">
        <v>5</v>
      </c>
      <c r="Q30" s="70">
        <v>5</v>
      </c>
      <c r="R30" s="68">
        <v>5</v>
      </c>
      <c r="S30" s="71">
        <v>5</v>
      </c>
      <c r="T30" s="89">
        <v>5</v>
      </c>
      <c r="U30" s="89">
        <v>0</v>
      </c>
      <c r="V30" s="69">
        <v>5</v>
      </c>
      <c r="W30" s="68">
        <v>5</v>
      </c>
      <c r="X30" s="71">
        <v>10</v>
      </c>
      <c r="Y30" s="71">
        <v>0</v>
      </c>
      <c r="Z30" s="89">
        <v>10</v>
      </c>
      <c r="AA30" s="69">
        <v>5</v>
      </c>
      <c r="AB30" s="68">
        <v>6</v>
      </c>
      <c r="AC30" s="71">
        <v>6</v>
      </c>
      <c r="AD30" s="71">
        <v>6</v>
      </c>
      <c r="AE30" s="71">
        <v>5</v>
      </c>
      <c r="AF30" s="69">
        <v>5</v>
      </c>
      <c r="AG30" s="68">
        <v>5</v>
      </c>
      <c r="AH30" s="69">
        <v>6</v>
      </c>
      <c r="AI30" s="51"/>
      <c r="AJ30" s="90"/>
    </row>
    <row r="31" spans="1:36" s="52" customFormat="1" ht="33.950000000000003" customHeight="1">
      <c r="A31" s="106" t="s">
        <v>687</v>
      </c>
      <c r="B31" s="63" t="s">
        <v>731</v>
      </c>
      <c r="C31" s="114" t="s">
        <v>466</v>
      </c>
      <c r="D31" s="94">
        <v>12</v>
      </c>
      <c r="E31" s="94" t="s">
        <v>464</v>
      </c>
      <c r="F31" s="66" t="s">
        <v>431</v>
      </c>
      <c r="G31" s="72" t="s">
        <v>732</v>
      </c>
      <c r="H31" s="72" t="s">
        <v>465</v>
      </c>
      <c r="I31" s="63" t="s">
        <v>663</v>
      </c>
      <c r="J31" s="63" t="s">
        <v>20</v>
      </c>
      <c r="K31" s="63" t="s">
        <v>673</v>
      </c>
      <c r="L31" s="63" t="s">
        <v>666</v>
      </c>
      <c r="M31" s="63" t="s">
        <v>678</v>
      </c>
      <c r="N31" s="67" t="s">
        <v>667</v>
      </c>
      <c r="O31" s="68">
        <v>5</v>
      </c>
      <c r="P31" s="69">
        <v>5</v>
      </c>
      <c r="Q31" s="70">
        <v>5</v>
      </c>
      <c r="R31" s="68">
        <v>5</v>
      </c>
      <c r="S31" s="71">
        <v>5</v>
      </c>
      <c r="T31" s="89">
        <v>5</v>
      </c>
      <c r="U31" s="89">
        <v>0</v>
      </c>
      <c r="V31" s="69">
        <v>5</v>
      </c>
      <c r="W31" s="68">
        <v>5</v>
      </c>
      <c r="X31" s="71">
        <v>10</v>
      </c>
      <c r="Y31" s="71">
        <v>0</v>
      </c>
      <c r="Z31" s="89">
        <v>10</v>
      </c>
      <c r="AA31" s="69">
        <v>5</v>
      </c>
      <c r="AB31" s="68">
        <v>6</v>
      </c>
      <c r="AC31" s="71">
        <v>6</v>
      </c>
      <c r="AD31" s="71">
        <v>6</v>
      </c>
      <c r="AE31" s="71">
        <v>5</v>
      </c>
      <c r="AF31" s="69">
        <v>5</v>
      </c>
      <c r="AG31" s="68">
        <v>5</v>
      </c>
      <c r="AH31" s="69">
        <v>6</v>
      </c>
      <c r="AI31" s="51"/>
      <c r="AJ31" s="90"/>
    </row>
    <row r="32" spans="1:36" s="52" customFormat="1" ht="33.950000000000003" customHeight="1">
      <c r="A32" s="106" t="s">
        <v>669</v>
      </c>
      <c r="B32" s="63" t="s">
        <v>733</v>
      </c>
      <c r="C32" s="107" t="s">
        <v>734</v>
      </c>
      <c r="D32" s="65">
        <v>12</v>
      </c>
      <c r="E32" s="64" t="s">
        <v>45</v>
      </c>
      <c r="F32" s="66" t="s">
        <v>31</v>
      </c>
      <c r="G32" s="72" t="s">
        <v>662</v>
      </c>
      <c r="H32" s="72" t="s">
        <v>46</v>
      </c>
      <c r="I32" s="63" t="s">
        <v>663</v>
      </c>
      <c r="J32" s="63" t="s">
        <v>20</v>
      </c>
      <c r="K32" s="63" t="s">
        <v>665</v>
      </c>
      <c r="L32" s="63" t="s">
        <v>666</v>
      </c>
      <c r="M32" s="63" t="s">
        <v>678</v>
      </c>
      <c r="N32" s="67" t="s">
        <v>667</v>
      </c>
      <c r="O32" s="68">
        <v>5</v>
      </c>
      <c r="P32" s="69">
        <v>5</v>
      </c>
      <c r="Q32" s="70">
        <v>5</v>
      </c>
      <c r="R32" s="68">
        <v>5</v>
      </c>
      <c r="S32" s="71">
        <v>5</v>
      </c>
      <c r="T32" s="89">
        <v>5</v>
      </c>
      <c r="U32" s="89">
        <v>0</v>
      </c>
      <c r="V32" s="69">
        <v>5</v>
      </c>
      <c r="W32" s="68">
        <v>5</v>
      </c>
      <c r="X32" s="71">
        <v>10</v>
      </c>
      <c r="Y32" s="71">
        <v>0</v>
      </c>
      <c r="Z32" s="89">
        <v>10</v>
      </c>
      <c r="AA32" s="69">
        <v>5</v>
      </c>
      <c r="AB32" s="68">
        <v>6</v>
      </c>
      <c r="AC32" s="71">
        <v>6</v>
      </c>
      <c r="AD32" s="71">
        <v>6</v>
      </c>
      <c r="AE32" s="71">
        <v>5</v>
      </c>
      <c r="AF32" s="69">
        <v>5</v>
      </c>
      <c r="AG32" s="68">
        <v>5</v>
      </c>
      <c r="AH32" s="69">
        <v>6</v>
      </c>
      <c r="AI32" s="51"/>
      <c r="AJ32" s="90"/>
    </row>
    <row r="33" spans="1:36" s="52" customFormat="1" ht="33.950000000000003" customHeight="1">
      <c r="A33" s="106" t="s">
        <v>697</v>
      </c>
      <c r="B33" s="63" t="s">
        <v>731</v>
      </c>
      <c r="C33" s="107" t="s">
        <v>470</v>
      </c>
      <c r="D33" s="94">
        <v>12</v>
      </c>
      <c r="E33" s="94" t="s">
        <v>735</v>
      </c>
      <c r="F33" s="66"/>
      <c r="G33" s="72" t="s">
        <v>732</v>
      </c>
      <c r="H33" s="72" t="s">
        <v>465</v>
      </c>
      <c r="I33" s="63" t="s">
        <v>663</v>
      </c>
      <c r="J33" s="63" t="s">
        <v>20</v>
      </c>
      <c r="K33" s="91" t="s">
        <v>673</v>
      </c>
      <c r="L33" s="91" t="s">
        <v>666</v>
      </c>
      <c r="M33" s="91" t="s">
        <v>678</v>
      </c>
      <c r="N33" s="92" t="s">
        <v>667</v>
      </c>
      <c r="O33" s="68">
        <v>5</v>
      </c>
      <c r="P33" s="69">
        <v>5</v>
      </c>
      <c r="Q33" s="70">
        <v>5</v>
      </c>
      <c r="R33" s="68">
        <v>5</v>
      </c>
      <c r="S33" s="71">
        <v>5</v>
      </c>
      <c r="T33" s="89">
        <v>5</v>
      </c>
      <c r="U33" s="89">
        <v>0</v>
      </c>
      <c r="V33" s="69">
        <v>5</v>
      </c>
      <c r="W33" s="68">
        <v>5</v>
      </c>
      <c r="X33" s="71">
        <v>10</v>
      </c>
      <c r="Y33" s="71">
        <v>0</v>
      </c>
      <c r="Z33" s="89">
        <v>10</v>
      </c>
      <c r="AA33" s="69">
        <v>5</v>
      </c>
      <c r="AB33" s="68">
        <v>6</v>
      </c>
      <c r="AC33" s="71">
        <v>6</v>
      </c>
      <c r="AD33" s="71">
        <v>6</v>
      </c>
      <c r="AE33" s="71">
        <v>5</v>
      </c>
      <c r="AF33" s="69">
        <v>5</v>
      </c>
      <c r="AG33" s="68">
        <v>5</v>
      </c>
      <c r="AH33" s="69">
        <v>6</v>
      </c>
      <c r="AI33" s="51"/>
      <c r="AJ33" s="90"/>
    </row>
    <row r="34" spans="1:36" s="52" customFormat="1" ht="33.950000000000003" hidden="1" customHeight="1">
      <c r="A34" s="52" t="s">
        <v>660</v>
      </c>
      <c r="B34" s="78" t="s">
        <v>731</v>
      </c>
      <c r="C34" s="85" t="s">
        <v>736</v>
      </c>
      <c r="D34" s="79">
        <v>12</v>
      </c>
      <c r="E34" s="80" t="s">
        <v>737</v>
      </c>
      <c r="F34" s="81"/>
      <c r="G34" s="82" t="s">
        <v>732</v>
      </c>
      <c r="H34" s="82" t="s">
        <v>465</v>
      </c>
      <c r="I34" s="78" t="s">
        <v>663</v>
      </c>
      <c r="J34" s="78" t="s">
        <v>664</v>
      </c>
      <c r="K34" s="95" t="s">
        <v>673</v>
      </c>
      <c r="L34" s="95" t="s">
        <v>666</v>
      </c>
      <c r="M34" s="95" t="s">
        <v>678</v>
      </c>
      <c r="N34" s="96" t="s">
        <v>667</v>
      </c>
      <c r="O34" s="68" t="s">
        <v>686</v>
      </c>
      <c r="P34" s="69" t="s">
        <v>686</v>
      </c>
      <c r="Q34" s="70" t="s">
        <v>686</v>
      </c>
      <c r="R34" s="68" t="s">
        <v>686</v>
      </c>
      <c r="S34" s="71" t="s">
        <v>686</v>
      </c>
      <c r="T34" s="89" t="s">
        <v>686</v>
      </c>
      <c r="U34" s="89" t="s">
        <v>686</v>
      </c>
      <c r="V34" s="69" t="s">
        <v>686</v>
      </c>
      <c r="W34" s="68" t="s">
        <v>686</v>
      </c>
      <c r="X34" s="71" t="s">
        <v>686</v>
      </c>
      <c r="Y34" s="71" t="s">
        <v>686</v>
      </c>
      <c r="Z34" s="89" t="s">
        <v>686</v>
      </c>
      <c r="AA34" s="69" t="s">
        <v>686</v>
      </c>
      <c r="AB34" s="68" t="s">
        <v>686</v>
      </c>
      <c r="AC34" s="71" t="s">
        <v>686</v>
      </c>
      <c r="AD34" s="71" t="s">
        <v>686</v>
      </c>
      <c r="AE34" s="71" t="s">
        <v>686</v>
      </c>
      <c r="AF34" s="69" t="s">
        <v>686</v>
      </c>
      <c r="AG34" s="68" t="s">
        <v>686</v>
      </c>
      <c r="AH34" s="69" t="s">
        <v>686</v>
      </c>
      <c r="AI34" s="51"/>
      <c r="AJ34" s="90"/>
    </row>
    <row r="35" spans="1:36" s="52" customFormat="1" ht="33.950000000000003" hidden="1" customHeight="1">
      <c r="A35" s="52" t="s">
        <v>660</v>
      </c>
      <c r="B35" s="78" t="s">
        <v>729</v>
      </c>
      <c r="C35" s="85" t="s">
        <v>738</v>
      </c>
      <c r="D35" s="79">
        <v>12</v>
      </c>
      <c r="E35" s="80" t="s">
        <v>739</v>
      </c>
      <c r="F35" s="81"/>
      <c r="G35" s="82" t="s">
        <v>730</v>
      </c>
      <c r="H35" s="82" t="s">
        <v>484</v>
      </c>
      <c r="I35" s="78" t="s">
        <v>663</v>
      </c>
      <c r="J35" s="78" t="s">
        <v>664</v>
      </c>
      <c r="K35" s="95" t="s">
        <v>665</v>
      </c>
      <c r="L35" s="95" t="s">
        <v>666</v>
      </c>
      <c r="M35" s="95" t="s">
        <v>678</v>
      </c>
      <c r="N35" s="96" t="s">
        <v>667</v>
      </c>
      <c r="O35" s="68" t="s">
        <v>686</v>
      </c>
      <c r="P35" s="69" t="s">
        <v>686</v>
      </c>
      <c r="Q35" s="70" t="s">
        <v>686</v>
      </c>
      <c r="R35" s="68" t="s">
        <v>686</v>
      </c>
      <c r="S35" s="71" t="s">
        <v>686</v>
      </c>
      <c r="T35" s="89" t="s">
        <v>686</v>
      </c>
      <c r="U35" s="89" t="s">
        <v>686</v>
      </c>
      <c r="V35" s="69" t="s">
        <v>686</v>
      </c>
      <c r="W35" s="68" t="s">
        <v>686</v>
      </c>
      <c r="X35" s="71" t="s">
        <v>686</v>
      </c>
      <c r="Y35" s="71" t="s">
        <v>686</v>
      </c>
      <c r="Z35" s="89" t="s">
        <v>686</v>
      </c>
      <c r="AA35" s="69" t="s">
        <v>686</v>
      </c>
      <c r="AB35" s="68" t="s">
        <v>686</v>
      </c>
      <c r="AC35" s="71" t="s">
        <v>686</v>
      </c>
      <c r="AD35" s="71" t="s">
        <v>686</v>
      </c>
      <c r="AE35" s="71" t="s">
        <v>686</v>
      </c>
      <c r="AF35" s="69" t="s">
        <v>686</v>
      </c>
      <c r="AG35" s="68" t="s">
        <v>686</v>
      </c>
      <c r="AH35" s="69" t="s">
        <v>686</v>
      </c>
      <c r="AI35" s="51"/>
      <c r="AJ35" s="90"/>
    </row>
    <row r="36" spans="1:36" s="52" customFormat="1" ht="33.950000000000003" customHeight="1">
      <c r="A36" s="106" t="s">
        <v>697</v>
      </c>
      <c r="B36" s="63" t="s">
        <v>740</v>
      </c>
      <c r="C36" s="107" t="s">
        <v>450</v>
      </c>
      <c r="D36" s="65">
        <v>12</v>
      </c>
      <c r="E36" s="64" t="s">
        <v>741</v>
      </c>
      <c r="F36" s="66"/>
      <c r="G36" s="72" t="s">
        <v>742</v>
      </c>
      <c r="H36" s="72" t="s">
        <v>449</v>
      </c>
      <c r="I36" s="63" t="s">
        <v>663</v>
      </c>
      <c r="J36" s="63" t="s">
        <v>20</v>
      </c>
      <c r="K36" s="91" t="s">
        <v>665</v>
      </c>
      <c r="L36" s="91" t="s">
        <v>666</v>
      </c>
      <c r="M36" s="91" t="s">
        <v>678</v>
      </c>
      <c r="N36" s="92" t="s">
        <v>667</v>
      </c>
      <c r="O36" s="68">
        <v>5</v>
      </c>
      <c r="P36" s="69">
        <v>5</v>
      </c>
      <c r="Q36" s="70">
        <v>5</v>
      </c>
      <c r="R36" s="68">
        <v>5</v>
      </c>
      <c r="S36" s="71">
        <v>5</v>
      </c>
      <c r="T36" s="89">
        <v>5</v>
      </c>
      <c r="U36" s="89">
        <v>0</v>
      </c>
      <c r="V36" s="69">
        <v>5</v>
      </c>
      <c r="W36" s="68">
        <v>5</v>
      </c>
      <c r="X36" s="71">
        <v>10</v>
      </c>
      <c r="Y36" s="71">
        <v>0</v>
      </c>
      <c r="Z36" s="89">
        <v>10</v>
      </c>
      <c r="AA36" s="69">
        <v>5</v>
      </c>
      <c r="AB36" s="68">
        <v>6</v>
      </c>
      <c r="AC36" s="71">
        <v>6</v>
      </c>
      <c r="AD36" s="71">
        <v>6</v>
      </c>
      <c r="AE36" s="71">
        <v>5</v>
      </c>
      <c r="AF36" s="69">
        <v>5</v>
      </c>
      <c r="AG36" s="68">
        <v>5</v>
      </c>
      <c r="AH36" s="69">
        <v>6</v>
      </c>
      <c r="AI36" s="51"/>
      <c r="AJ36" s="90"/>
    </row>
    <row r="37" spans="1:36" s="52" customFormat="1" ht="33.950000000000003" customHeight="1">
      <c r="A37" s="106" t="s">
        <v>669</v>
      </c>
      <c r="B37" s="63" t="s">
        <v>743</v>
      </c>
      <c r="C37" s="107" t="s">
        <v>434</v>
      </c>
      <c r="D37" s="65">
        <v>12</v>
      </c>
      <c r="E37" s="64" t="s">
        <v>433</v>
      </c>
      <c r="F37" s="66"/>
      <c r="G37" s="72" t="s">
        <v>744</v>
      </c>
      <c r="H37" s="72" t="s">
        <v>196</v>
      </c>
      <c r="I37" s="63" t="s">
        <v>663</v>
      </c>
      <c r="J37" s="63" t="s">
        <v>20</v>
      </c>
      <c r="K37" s="63" t="s">
        <v>665</v>
      </c>
      <c r="L37" s="63" t="s">
        <v>666</v>
      </c>
      <c r="M37" s="63" t="s">
        <v>667</v>
      </c>
      <c r="N37" s="67" t="s">
        <v>667</v>
      </c>
      <c r="O37" s="68">
        <v>5</v>
      </c>
      <c r="P37" s="69">
        <v>5</v>
      </c>
      <c r="Q37" s="70">
        <v>5</v>
      </c>
      <c r="R37" s="68">
        <v>5</v>
      </c>
      <c r="S37" s="71">
        <v>5</v>
      </c>
      <c r="T37" s="89">
        <v>5</v>
      </c>
      <c r="U37" s="89">
        <v>0</v>
      </c>
      <c r="V37" s="69">
        <v>5</v>
      </c>
      <c r="W37" s="68">
        <v>5</v>
      </c>
      <c r="X37" s="71">
        <v>10</v>
      </c>
      <c r="Y37" s="71">
        <v>0</v>
      </c>
      <c r="Z37" s="89">
        <v>10</v>
      </c>
      <c r="AA37" s="69">
        <v>5</v>
      </c>
      <c r="AB37" s="68">
        <v>5</v>
      </c>
      <c r="AC37" s="71">
        <v>10</v>
      </c>
      <c r="AD37" s="71">
        <v>0</v>
      </c>
      <c r="AE37" s="71">
        <v>5</v>
      </c>
      <c r="AF37" s="69">
        <v>5</v>
      </c>
      <c r="AG37" s="68">
        <v>5</v>
      </c>
      <c r="AH37" s="69">
        <v>6</v>
      </c>
      <c r="AI37" s="51"/>
      <c r="AJ37" s="90"/>
    </row>
    <row r="38" spans="1:36" s="52" customFormat="1" ht="33.950000000000003" customHeight="1">
      <c r="B38" s="63"/>
      <c r="C38" s="83"/>
      <c r="D38" s="65"/>
      <c r="E38" s="64"/>
      <c r="F38" s="66"/>
      <c r="G38" s="72"/>
      <c r="H38" s="72"/>
      <c r="I38" s="63"/>
      <c r="J38" s="63"/>
      <c r="K38" s="63"/>
      <c r="L38" s="63"/>
      <c r="M38" s="63"/>
      <c r="N38" s="67"/>
      <c r="O38" s="68" t="s">
        <v>686</v>
      </c>
      <c r="P38" s="69" t="s">
        <v>686</v>
      </c>
      <c r="Q38" s="70" t="s">
        <v>686</v>
      </c>
      <c r="R38" s="68" t="s">
        <v>686</v>
      </c>
      <c r="S38" s="71" t="s">
        <v>686</v>
      </c>
      <c r="T38" s="89" t="s">
        <v>686</v>
      </c>
      <c r="U38" s="89" t="s">
        <v>686</v>
      </c>
      <c r="V38" s="69" t="s">
        <v>686</v>
      </c>
      <c r="W38" s="68" t="s">
        <v>686</v>
      </c>
      <c r="X38" s="71" t="s">
        <v>686</v>
      </c>
      <c r="Y38" s="71" t="s">
        <v>686</v>
      </c>
      <c r="Z38" s="89" t="s">
        <v>686</v>
      </c>
      <c r="AA38" s="69" t="s">
        <v>686</v>
      </c>
      <c r="AB38" s="68" t="s">
        <v>686</v>
      </c>
      <c r="AC38" s="71" t="s">
        <v>686</v>
      </c>
      <c r="AD38" s="71" t="s">
        <v>686</v>
      </c>
      <c r="AE38" s="71" t="s">
        <v>686</v>
      </c>
      <c r="AF38" s="69" t="s">
        <v>686</v>
      </c>
      <c r="AG38" s="68" t="s">
        <v>686</v>
      </c>
      <c r="AH38" s="69" t="s">
        <v>686</v>
      </c>
      <c r="AI38" s="51"/>
      <c r="AJ38" s="90"/>
    </row>
    <row r="39" spans="1:36" s="52" customFormat="1" ht="33.950000000000003" customHeight="1">
      <c r="B39" s="63"/>
      <c r="C39" s="83"/>
      <c r="D39" s="65"/>
      <c r="E39" s="64"/>
      <c r="F39" s="66"/>
      <c r="G39" s="72"/>
      <c r="H39" s="72"/>
      <c r="I39" s="63"/>
      <c r="J39" s="63"/>
      <c r="K39" s="63"/>
      <c r="L39" s="63"/>
      <c r="M39" s="63"/>
      <c r="N39" s="67"/>
      <c r="O39" s="68" t="s">
        <v>686</v>
      </c>
      <c r="P39" s="69" t="s">
        <v>686</v>
      </c>
      <c r="Q39" s="70" t="s">
        <v>686</v>
      </c>
      <c r="R39" s="68" t="s">
        <v>686</v>
      </c>
      <c r="S39" s="71" t="s">
        <v>686</v>
      </c>
      <c r="T39" s="89" t="s">
        <v>686</v>
      </c>
      <c r="U39" s="89" t="s">
        <v>686</v>
      </c>
      <c r="V39" s="69" t="s">
        <v>686</v>
      </c>
      <c r="W39" s="68" t="s">
        <v>686</v>
      </c>
      <c r="X39" s="71" t="s">
        <v>686</v>
      </c>
      <c r="Y39" s="71" t="s">
        <v>686</v>
      </c>
      <c r="Z39" s="89" t="s">
        <v>686</v>
      </c>
      <c r="AA39" s="69" t="s">
        <v>686</v>
      </c>
      <c r="AB39" s="68" t="s">
        <v>686</v>
      </c>
      <c r="AC39" s="71" t="s">
        <v>686</v>
      </c>
      <c r="AD39" s="71" t="s">
        <v>686</v>
      </c>
      <c r="AE39" s="71" t="s">
        <v>686</v>
      </c>
      <c r="AF39" s="69" t="s">
        <v>686</v>
      </c>
      <c r="AG39" s="68" t="s">
        <v>686</v>
      </c>
      <c r="AH39" s="69" t="s">
        <v>686</v>
      </c>
      <c r="AI39" s="51" t="s">
        <v>745</v>
      </c>
      <c r="AJ39" s="90"/>
    </row>
    <row r="40" spans="1:36" s="53" customFormat="1" ht="33.950000000000003" customHeight="1">
      <c r="C40" s="54"/>
      <c r="D40" s="54"/>
      <c r="O40" s="55">
        <f>COUNTIF(O8:O39,5)+COUNTIF(O8:O39,0)</f>
        <v>26</v>
      </c>
      <c r="P40" s="55">
        <f t="shared" ref="P40:AH40" si="0">COUNTIF(P8:P39,5)+COUNTIF(P8:P39,0)</f>
        <v>26</v>
      </c>
      <c r="Q40" s="55">
        <f t="shared" si="0"/>
        <v>26</v>
      </c>
      <c r="R40" s="55">
        <f t="shared" si="0"/>
        <v>26</v>
      </c>
      <c r="S40" s="55">
        <f t="shared" si="0"/>
        <v>26</v>
      </c>
      <c r="T40" s="55">
        <f t="shared" si="0"/>
        <v>26</v>
      </c>
      <c r="U40" s="55">
        <f t="shared" si="0"/>
        <v>26</v>
      </c>
      <c r="V40" s="55">
        <f t="shared" si="0"/>
        <v>26</v>
      </c>
      <c r="W40" s="55">
        <f t="shared" si="0"/>
        <v>26</v>
      </c>
      <c r="X40" s="55">
        <f t="shared" si="0"/>
        <v>3</v>
      </c>
      <c r="Y40" s="55">
        <f t="shared" si="0"/>
        <v>26</v>
      </c>
      <c r="Z40" s="55">
        <f t="shared" si="0"/>
        <v>9</v>
      </c>
      <c r="AA40" s="55">
        <f t="shared" si="0"/>
        <v>26</v>
      </c>
      <c r="AB40" s="55">
        <f t="shared" si="0"/>
        <v>16</v>
      </c>
      <c r="AC40" s="55">
        <f t="shared" si="0"/>
        <v>0</v>
      </c>
      <c r="AD40" s="55">
        <f t="shared" si="0"/>
        <v>15</v>
      </c>
      <c r="AE40" s="55">
        <f t="shared" si="0"/>
        <v>26</v>
      </c>
      <c r="AF40" s="55">
        <f t="shared" si="0"/>
        <v>26</v>
      </c>
      <c r="AG40" s="55">
        <f t="shared" si="0"/>
        <v>26</v>
      </c>
      <c r="AH40" s="55">
        <f t="shared" si="0"/>
        <v>0</v>
      </c>
      <c r="AI40" s="53" t="s">
        <v>746</v>
      </c>
    </row>
    <row r="41" spans="1:36" s="53" customFormat="1" ht="33.950000000000003" customHeight="1">
      <c r="C41" s="54"/>
      <c r="D41" s="54"/>
      <c r="O41" s="55">
        <f>COUNTIF(O8:O39,4)</f>
        <v>0</v>
      </c>
      <c r="P41" s="55">
        <f t="shared" ref="P41:AH41" si="1">COUNTIF(P8:P39,4)</f>
        <v>0</v>
      </c>
      <c r="Q41" s="55">
        <f t="shared" si="1"/>
        <v>0</v>
      </c>
      <c r="R41" s="55">
        <f t="shared" si="1"/>
        <v>0</v>
      </c>
      <c r="S41" s="55">
        <f t="shared" si="1"/>
        <v>0</v>
      </c>
      <c r="T41" s="55">
        <f>COUNTIF(T8:T39,4)</f>
        <v>0</v>
      </c>
      <c r="U41" s="55">
        <f t="shared" si="1"/>
        <v>0</v>
      </c>
      <c r="V41" s="55">
        <f t="shared" si="1"/>
        <v>0</v>
      </c>
      <c r="W41" s="55">
        <f t="shared" si="1"/>
        <v>0</v>
      </c>
      <c r="X41" s="55">
        <f t="shared" si="1"/>
        <v>0</v>
      </c>
      <c r="Y41" s="55">
        <f t="shared" si="1"/>
        <v>0</v>
      </c>
      <c r="Z41" s="55">
        <f t="shared" si="1"/>
        <v>0</v>
      </c>
      <c r="AA41" s="55">
        <f t="shared" si="1"/>
        <v>0</v>
      </c>
      <c r="AB41" s="55">
        <f t="shared" si="1"/>
        <v>0</v>
      </c>
      <c r="AC41" s="55">
        <f t="shared" si="1"/>
        <v>0</v>
      </c>
      <c r="AD41" s="55">
        <f t="shared" si="1"/>
        <v>0</v>
      </c>
      <c r="AE41" s="55">
        <f t="shared" si="1"/>
        <v>0</v>
      </c>
      <c r="AF41" s="55">
        <f t="shared" si="1"/>
        <v>0</v>
      </c>
      <c r="AG41" s="55">
        <f t="shared" si="1"/>
        <v>0</v>
      </c>
      <c r="AH41" s="55">
        <f t="shared" si="1"/>
        <v>0</v>
      </c>
      <c r="AI41" s="53" t="s">
        <v>747</v>
      </c>
    </row>
    <row r="42" spans="1:36" s="53" customFormat="1" ht="33.950000000000003" customHeight="1">
      <c r="C42" s="54"/>
      <c r="D42" s="54"/>
      <c r="O42" s="55">
        <f>COUNTIF(O8:O39,10)</f>
        <v>0</v>
      </c>
      <c r="P42" s="55">
        <f t="shared" ref="P42:AH42" si="2">COUNTIF(P8:P39,10)</f>
        <v>0</v>
      </c>
      <c r="Q42" s="55">
        <f t="shared" si="2"/>
        <v>0</v>
      </c>
      <c r="R42" s="55">
        <f t="shared" si="2"/>
        <v>0</v>
      </c>
      <c r="S42" s="55">
        <f t="shared" si="2"/>
        <v>0</v>
      </c>
      <c r="T42" s="55">
        <f t="shared" si="2"/>
        <v>0</v>
      </c>
      <c r="U42" s="55">
        <f t="shared" si="2"/>
        <v>0</v>
      </c>
      <c r="V42" s="55">
        <f t="shared" si="2"/>
        <v>0</v>
      </c>
      <c r="W42" s="55">
        <f t="shared" si="2"/>
        <v>0</v>
      </c>
      <c r="X42" s="55">
        <f t="shared" si="2"/>
        <v>23</v>
      </c>
      <c r="Y42" s="55">
        <f t="shared" si="2"/>
        <v>0</v>
      </c>
      <c r="Z42" s="55">
        <f t="shared" si="2"/>
        <v>17</v>
      </c>
      <c r="AA42" s="55">
        <f t="shared" si="2"/>
        <v>0</v>
      </c>
      <c r="AB42" s="55">
        <f t="shared" si="2"/>
        <v>0</v>
      </c>
      <c r="AC42" s="55">
        <f t="shared" si="2"/>
        <v>16</v>
      </c>
      <c r="AD42" s="55">
        <f t="shared" si="2"/>
        <v>1</v>
      </c>
      <c r="AE42" s="55">
        <f t="shared" si="2"/>
        <v>0</v>
      </c>
      <c r="AF42" s="55">
        <f t="shared" si="2"/>
        <v>0</v>
      </c>
      <c r="AG42" s="55">
        <f t="shared" si="2"/>
        <v>0</v>
      </c>
      <c r="AH42" s="55">
        <f t="shared" si="2"/>
        <v>0</v>
      </c>
      <c r="AI42" s="53" t="s">
        <v>748</v>
      </c>
    </row>
    <row r="43" spans="1:36" s="53" customFormat="1" ht="33.950000000000003" customHeight="1">
      <c r="C43" s="54"/>
      <c r="D43" s="54"/>
      <c r="O43" s="55">
        <f>COUNTIF(O8:O39,50)</f>
        <v>0</v>
      </c>
      <c r="P43" s="55">
        <f t="shared" ref="P43:AH43" si="3">COUNTIF(P8:P39,50)</f>
        <v>0</v>
      </c>
      <c r="Q43" s="55">
        <f t="shared" si="3"/>
        <v>0</v>
      </c>
      <c r="R43" s="55">
        <f t="shared" si="3"/>
        <v>0</v>
      </c>
      <c r="S43" s="55">
        <f t="shared" si="3"/>
        <v>0</v>
      </c>
      <c r="T43" s="55">
        <f t="shared" si="3"/>
        <v>0</v>
      </c>
      <c r="U43" s="55">
        <f t="shared" si="3"/>
        <v>0</v>
      </c>
      <c r="V43" s="55">
        <f t="shared" si="3"/>
        <v>0</v>
      </c>
      <c r="W43" s="55">
        <f t="shared" si="3"/>
        <v>0</v>
      </c>
      <c r="X43" s="55">
        <f t="shared" si="3"/>
        <v>0</v>
      </c>
      <c r="Y43" s="55">
        <f t="shared" si="3"/>
        <v>0</v>
      </c>
      <c r="Z43" s="55">
        <f t="shared" si="3"/>
        <v>0</v>
      </c>
      <c r="AA43" s="55">
        <f t="shared" si="3"/>
        <v>0</v>
      </c>
      <c r="AB43" s="55">
        <f t="shared" si="3"/>
        <v>0</v>
      </c>
      <c r="AC43" s="55">
        <f t="shared" si="3"/>
        <v>0</v>
      </c>
      <c r="AD43" s="55">
        <f t="shared" si="3"/>
        <v>0</v>
      </c>
      <c r="AE43" s="55">
        <f t="shared" si="3"/>
        <v>0</v>
      </c>
      <c r="AF43" s="55">
        <f t="shared" si="3"/>
        <v>0</v>
      </c>
      <c r="AG43" s="55">
        <f t="shared" si="3"/>
        <v>0</v>
      </c>
      <c r="AH43" s="55">
        <f t="shared" si="3"/>
        <v>0</v>
      </c>
      <c r="AI43" s="53" t="s">
        <v>749</v>
      </c>
    </row>
    <row r="44" spans="1:36" s="53" customFormat="1" ht="33.950000000000003" customHeight="1">
      <c r="C44" s="54"/>
      <c r="D44" s="54"/>
      <c r="O44" s="55">
        <f>COUNTIF(O8:O39,3)</f>
        <v>0</v>
      </c>
      <c r="P44" s="55">
        <f>COUNTIF(P8:P39,3)</f>
        <v>0</v>
      </c>
      <c r="Q44" s="55">
        <f>COUNTIF(Q8:Q39,3)</f>
        <v>0</v>
      </c>
      <c r="R44" s="55">
        <f t="shared" ref="R44:AH44" si="4">COUNTIF(R8:R39,3)</f>
        <v>0</v>
      </c>
      <c r="S44" s="55">
        <f t="shared" si="4"/>
        <v>0</v>
      </c>
      <c r="T44" s="55">
        <f t="shared" si="4"/>
        <v>0</v>
      </c>
      <c r="U44" s="55">
        <f t="shared" si="4"/>
        <v>0</v>
      </c>
      <c r="V44" s="55">
        <f t="shared" si="4"/>
        <v>0</v>
      </c>
      <c r="W44" s="55">
        <f t="shared" si="4"/>
        <v>0</v>
      </c>
      <c r="X44" s="55">
        <f t="shared" si="4"/>
        <v>0</v>
      </c>
      <c r="Y44" s="55">
        <f t="shared" si="4"/>
        <v>0</v>
      </c>
      <c r="Z44" s="55">
        <f t="shared" si="4"/>
        <v>0</v>
      </c>
      <c r="AA44" s="55">
        <f t="shared" si="4"/>
        <v>0</v>
      </c>
      <c r="AB44" s="55">
        <f t="shared" si="4"/>
        <v>0</v>
      </c>
      <c r="AC44" s="55">
        <f t="shared" si="4"/>
        <v>0</v>
      </c>
      <c r="AD44" s="55">
        <f t="shared" si="4"/>
        <v>0</v>
      </c>
      <c r="AE44" s="55">
        <f t="shared" si="4"/>
        <v>0</v>
      </c>
      <c r="AF44" s="55">
        <f t="shared" si="4"/>
        <v>0</v>
      </c>
      <c r="AG44" s="55">
        <f t="shared" si="4"/>
        <v>0</v>
      </c>
      <c r="AH44" s="55">
        <f t="shared" si="4"/>
        <v>0</v>
      </c>
      <c r="AI44" s="53" t="s">
        <v>750</v>
      </c>
    </row>
    <row r="45" spans="1:36" s="53" customFormat="1" ht="24.95" customHeight="1">
      <c r="O45" s="71">
        <v>0</v>
      </c>
      <c r="P45" s="56" t="s">
        <v>751</v>
      </c>
      <c r="Q45" s="56"/>
      <c r="R45" s="56"/>
      <c r="S45" s="56"/>
      <c r="T45" s="56"/>
      <c r="U45" s="56"/>
      <c r="V45" s="56"/>
      <c r="W45" s="56"/>
      <c r="X45" s="56"/>
      <c r="Y45" s="56"/>
      <c r="Z45" s="56"/>
    </row>
    <row r="46" spans="1:36" s="53" customFormat="1" ht="24.95" customHeight="1">
      <c r="O46" s="89">
        <v>10</v>
      </c>
      <c r="P46" s="56" t="s">
        <v>752</v>
      </c>
      <c r="Q46" s="56"/>
      <c r="R46" s="56"/>
      <c r="S46" s="56"/>
      <c r="T46" s="56"/>
      <c r="U46" s="56"/>
      <c r="V46" s="56"/>
      <c r="W46" s="56"/>
      <c r="X46" s="56"/>
      <c r="Y46" s="56"/>
      <c r="Z46" s="56"/>
    </row>
    <row r="47" spans="1:36" s="53" customFormat="1" ht="24.95" customHeight="1">
      <c r="O47" s="89">
        <v>50</v>
      </c>
      <c r="P47" s="56" t="s">
        <v>753</v>
      </c>
      <c r="Q47" s="56"/>
      <c r="R47" s="56"/>
      <c r="S47" s="56"/>
      <c r="T47" s="56"/>
      <c r="U47" s="56"/>
      <c r="V47" s="56"/>
      <c r="W47" s="56"/>
      <c r="X47" s="56"/>
      <c r="Y47" s="56"/>
      <c r="Z47" s="56"/>
    </row>
    <row r="48" spans="1:36" s="53" customFormat="1" ht="24.95" customHeight="1">
      <c r="O48" s="57">
        <v>3</v>
      </c>
      <c r="P48" s="56" t="s">
        <v>754</v>
      </c>
      <c r="Q48" s="56"/>
      <c r="R48" s="56"/>
      <c r="S48" s="56"/>
      <c r="T48" s="56"/>
      <c r="U48" s="56"/>
      <c r="V48" s="56"/>
      <c r="W48" s="56"/>
      <c r="X48" s="56"/>
      <c r="Y48" s="56"/>
      <c r="Z48" s="56"/>
    </row>
    <row r="49" spans="15:32" s="53" customFormat="1" ht="24.95" customHeight="1">
      <c r="O49" s="69">
        <v>4</v>
      </c>
      <c r="P49" s="56" t="s">
        <v>755</v>
      </c>
      <c r="Q49" s="56"/>
      <c r="R49" s="56"/>
      <c r="S49" s="56"/>
      <c r="T49" s="56"/>
      <c r="U49" s="56"/>
      <c r="V49" s="56"/>
      <c r="W49" s="56"/>
      <c r="X49" s="56"/>
      <c r="Y49" s="56"/>
      <c r="Z49" s="56"/>
    </row>
    <row r="50" spans="15:32" s="53" customFormat="1" ht="24.95" customHeight="1">
      <c r="O50" s="88">
        <v>5</v>
      </c>
      <c r="P50" s="56" t="s">
        <v>756</v>
      </c>
      <c r="Q50" s="56"/>
      <c r="R50" s="56"/>
      <c r="S50" s="56"/>
      <c r="T50" s="56"/>
      <c r="U50" s="56"/>
      <c r="V50" s="56"/>
      <c r="W50" s="56"/>
      <c r="X50" s="56"/>
      <c r="Y50" s="56"/>
      <c r="Z50" s="56"/>
    </row>
    <row r="51" spans="15:32" s="53" customFormat="1" ht="24.95" customHeight="1">
      <c r="O51" s="87">
        <v>6</v>
      </c>
      <c r="P51" s="56" t="s">
        <v>757</v>
      </c>
      <c r="Q51" s="56"/>
      <c r="R51" s="56"/>
      <c r="S51" s="56"/>
      <c r="T51" s="56"/>
      <c r="U51" s="56"/>
      <c r="V51" s="56"/>
      <c r="W51" s="56"/>
      <c r="X51" s="56"/>
      <c r="Y51" s="56"/>
      <c r="Z51" s="56"/>
    </row>
    <row r="52" spans="15:32" s="53" customFormat="1" ht="24.95" customHeight="1">
      <c r="O52" s="69">
        <v>7</v>
      </c>
      <c r="P52" s="56" t="s">
        <v>758</v>
      </c>
      <c r="Q52" s="56"/>
      <c r="R52" s="56"/>
      <c r="S52" s="56"/>
      <c r="T52" s="56"/>
      <c r="U52" s="56"/>
      <c r="V52" s="56"/>
      <c r="W52" s="56"/>
      <c r="X52" s="56"/>
      <c r="Y52" s="56"/>
      <c r="Z52" s="56"/>
    </row>
    <row r="53" spans="15:32" s="53" customFormat="1" ht="24.95" customHeight="1"/>
    <row r="54" spans="15:32">
      <c r="P54" s="53"/>
      <c r="Q54" s="53"/>
      <c r="R54" s="53"/>
      <c r="S54" s="53"/>
      <c r="T54" s="53"/>
      <c r="U54" s="53"/>
      <c r="V54" s="53"/>
      <c r="W54" s="53"/>
      <c r="X54" s="53"/>
      <c r="Y54" s="53"/>
      <c r="Z54" s="53"/>
      <c r="AA54" s="53"/>
      <c r="AB54" s="53"/>
      <c r="AC54" s="53"/>
      <c r="AD54" s="53"/>
      <c r="AE54" s="53"/>
      <c r="AF54" s="53"/>
    </row>
    <row r="55" spans="15:32">
      <c r="P55" s="53"/>
      <c r="Q55" s="53"/>
      <c r="R55" s="53"/>
      <c r="S55" s="53"/>
      <c r="T55" s="53"/>
      <c r="U55" s="53"/>
      <c r="V55" s="53"/>
      <c r="W55" s="53"/>
      <c r="X55" s="53"/>
      <c r="Y55" s="53"/>
      <c r="Z55" s="53"/>
      <c r="AA55" s="53"/>
      <c r="AB55" s="53"/>
      <c r="AC55" s="53"/>
      <c r="AD55" s="53"/>
      <c r="AE55" s="53"/>
      <c r="AF55" s="53"/>
    </row>
    <row r="56" spans="15:32">
      <c r="P56" s="53"/>
      <c r="Q56" s="53"/>
      <c r="R56" s="53"/>
      <c r="W56" s="28" t="s">
        <v>759</v>
      </c>
    </row>
  </sheetData>
  <autoFilter ref="A5:N52" xr:uid="{7295C9E5-3B5D-4C5B-8679-2ABE17F599EF}">
    <filterColumn colId="9">
      <filters blank="1">
        <filter val="in Progress"/>
        <filter val="Status"/>
      </filters>
    </filterColumn>
    <filterColumn colId="11" showButton="0"/>
    <filterColumn colId="12" showButton="0"/>
  </autoFilter>
  <mergeCells count="38">
    <mergeCell ref="T4:T6"/>
    <mergeCell ref="B5:B6"/>
    <mergeCell ref="C5:C6"/>
    <mergeCell ref="D5:D6"/>
    <mergeCell ref="E5:E6"/>
    <mergeCell ref="F5:F6"/>
    <mergeCell ref="AG4:AG6"/>
    <mergeCell ref="AH4:AH6"/>
    <mergeCell ref="H5:H6"/>
    <mergeCell ref="I5:I6"/>
    <mergeCell ref="L5:N5"/>
    <mergeCell ref="AA4:AA6"/>
    <mergeCell ref="AB4:AB6"/>
    <mergeCell ref="AC4:AC6"/>
    <mergeCell ref="AD4:AD6"/>
    <mergeCell ref="AE4:AE6"/>
    <mergeCell ref="O4:O6"/>
    <mergeCell ref="P4:P6"/>
    <mergeCell ref="Q4:Q6"/>
    <mergeCell ref="AF4:AF6"/>
    <mergeCell ref="Y4:Y6"/>
    <mergeCell ref="R4:R6"/>
    <mergeCell ref="A5:A6"/>
    <mergeCell ref="A1:N4"/>
    <mergeCell ref="Z4:Z6"/>
    <mergeCell ref="G5:G6"/>
    <mergeCell ref="K5:K6"/>
    <mergeCell ref="O1:AH1"/>
    <mergeCell ref="O2:P2"/>
    <mergeCell ref="R2:V2"/>
    <mergeCell ref="W2:AA2"/>
    <mergeCell ref="AB2:AF2"/>
    <mergeCell ref="AG2:AH2"/>
    <mergeCell ref="S4:S6"/>
    <mergeCell ref="V4:V6"/>
    <mergeCell ref="W4:W6"/>
    <mergeCell ref="X4:X6"/>
    <mergeCell ref="U4:U6"/>
  </mergeCells>
  <conditionalFormatting sqref="O7:AH39">
    <cfRule type="cellIs" dxfId="51" priority="33" operator="equal">
      <formula>3</formula>
    </cfRule>
    <cfRule type="cellIs" dxfId="50" priority="41" operator="equal">
      <formula>7</formula>
    </cfRule>
    <cfRule type="cellIs" dxfId="49" priority="42" operator="equal">
      <formula>6</formula>
    </cfRule>
    <cfRule type="cellIs" dxfId="48" priority="43" operator="equal">
      <formula>4</formula>
    </cfRule>
    <cfRule type="cellIs" dxfId="47" priority="44" operator="equal">
      <formula>5</formula>
    </cfRule>
    <cfRule type="cellIs" dxfId="46" priority="49" operator="equal">
      <formula>50</formula>
    </cfRule>
    <cfRule type="cellIs" dxfId="45" priority="52" operator="equal">
      <formula>10</formula>
    </cfRule>
    <cfRule type="cellIs" dxfId="44" priority="54" operator="equal">
      <formula>0</formula>
    </cfRule>
  </conditionalFormatting>
  <conditionalFormatting sqref="O52">
    <cfRule type="cellIs" dxfId="43" priority="34" operator="equal">
      <formula>7</formula>
    </cfRule>
    <cfRule type="cellIs" dxfId="42" priority="35" operator="equal">
      <formula>6</formula>
    </cfRule>
    <cfRule type="cellIs" dxfId="41" priority="36" operator="equal">
      <formula>4</formula>
    </cfRule>
    <cfRule type="cellIs" dxfId="40" priority="37" operator="equal">
      <formula>5</formula>
    </cfRule>
    <cfRule type="cellIs" dxfId="39" priority="38" operator="equal">
      <formula>2</formula>
    </cfRule>
    <cfRule type="cellIs" dxfId="38" priority="39" operator="equal">
      <formula>1</formula>
    </cfRule>
    <cfRule type="cellIs" dxfId="37" priority="40" operator="equal">
      <formula>"OK"</formula>
    </cfRule>
  </conditionalFormatting>
  <conditionalFormatting sqref="O45">
    <cfRule type="cellIs" dxfId="36" priority="25" operator="equal">
      <formula>3</formula>
    </cfRule>
    <cfRule type="cellIs" dxfId="35" priority="26" operator="equal">
      <formula>7</formula>
    </cfRule>
    <cfRule type="cellIs" dxfId="34" priority="27" operator="equal">
      <formula>6</formula>
    </cfRule>
    <cfRule type="cellIs" dxfId="33" priority="28" operator="equal">
      <formula>4</formula>
    </cfRule>
    <cfRule type="cellIs" dxfId="32" priority="29" operator="equal">
      <formula>5</formula>
    </cfRule>
    <cfRule type="cellIs" dxfId="31" priority="30" operator="equal">
      <formula>50</formula>
    </cfRule>
    <cfRule type="cellIs" dxfId="30" priority="31" operator="equal">
      <formula>10</formula>
    </cfRule>
    <cfRule type="cellIs" dxfId="29" priority="32" operator="equal">
      <formula>0</formula>
    </cfRule>
  </conditionalFormatting>
  <conditionalFormatting sqref="O46">
    <cfRule type="cellIs" dxfId="28" priority="17" operator="equal">
      <formula>3</formula>
    </cfRule>
    <cfRule type="cellIs" dxfId="27" priority="18" operator="equal">
      <formula>7</formula>
    </cfRule>
    <cfRule type="cellIs" dxfId="26" priority="19" operator="equal">
      <formula>6</formula>
    </cfRule>
    <cfRule type="cellIs" dxfId="25" priority="20" operator="equal">
      <formula>4</formula>
    </cfRule>
    <cfRule type="cellIs" dxfId="24" priority="21" operator="equal">
      <formula>5</formula>
    </cfRule>
    <cfRule type="cellIs" dxfId="23" priority="22" operator="equal">
      <formula>50</formula>
    </cfRule>
    <cfRule type="cellIs" dxfId="22" priority="23" operator="equal">
      <formula>10</formula>
    </cfRule>
    <cfRule type="cellIs" dxfId="21" priority="24" operator="equal">
      <formula>0</formula>
    </cfRule>
  </conditionalFormatting>
  <conditionalFormatting sqref="O47">
    <cfRule type="cellIs" dxfId="20" priority="9" operator="equal">
      <formula>3</formula>
    </cfRule>
    <cfRule type="cellIs" dxfId="19" priority="10" operator="equal">
      <formula>7</formula>
    </cfRule>
    <cfRule type="cellIs" dxfId="18" priority="11" operator="equal">
      <formula>6</formula>
    </cfRule>
    <cfRule type="cellIs" dxfId="17" priority="12" operator="equal">
      <formula>4</formula>
    </cfRule>
    <cfRule type="cellIs" dxfId="16" priority="13" operator="equal">
      <formula>5</formula>
    </cfRule>
    <cfRule type="cellIs" dxfId="15" priority="14" operator="equal">
      <formula>50</formula>
    </cfRule>
    <cfRule type="cellIs" dxfId="14" priority="15" operator="equal">
      <formula>10</formula>
    </cfRule>
    <cfRule type="cellIs" dxfId="13" priority="16" operator="equal">
      <formula>0</formula>
    </cfRule>
  </conditionalFormatting>
  <conditionalFormatting sqref="O49">
    <cfRule type="cellIs" dxfId="12" priority="1" operator="equal">
      <formula>3</formula>
    </cfRule>
    <cfRule type="cellIs" dxfId="11" priority="2" operator="equal">
      <formula>7</formula>
    </cfRule>
    <cfRule type="cellIs" dxfId="10" priority="3" operator="equal">
      <formula>6</formula>
    </cfRule>
    <cfRule type="cellIs" dxfId="9" priority="4" operator="equal">
      <formula>4</formula>
    </cfRule>
    <cfRule type="cellIs" dxfId="8" priority="5" operator="equal">
      <formula>5</formula>
    </cfRule>
    <cfRule type="cellIs" dxfId="7" priority="6" operator="equal">
      <formula>50</formula>
    </cfRule>
    <cfRule type="cellIs" dxfId="6" priority="7" operator="equal">
      <formula>10</formula>
    </cfRule>
    <cfRule type="cellIs" dxfId="5" priority="8" operator="equal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headerFooter>
    <oddFooter>&amp;R_x000D_&amp;1#&amp;"Arial"&amp;10&amp;K000000 Confidential C</oddFoot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6B4C05-7957-4A20-92A3-6992B29B4CD2}">
  <sheetPr codeName="Sheet3"/>
  <dimension ref="A2:JU70"/>
  <sheetViews>
    <sheetView topLeftCell="A2" zoomScaleNormal="100" workbookViewId="0">
      <selection activeCell="AC30" sqref="AC30"/>
    </sheetView>
  </sheetViews>
  <sheetFormatPr baseColWidth="10" defaultColWidth="8.7109375" defaultRowHeight="15"/>
  <cols>
    <col min="1" max="1" width="2.85546875" style="1" customWidth="1"/>
    <col min="2" max="2" width="82" style="1" customWidth="1"/>
    <col min="3" max="3" width="9.42578125" style="1" bestFit="1" customWidth="1"/>
    <col min="4" max="6" width="8.7109375" style="1" bestFit="1" customWidth="1"/>
    <col min="7" max="14" width="8.7109375" style="1"/>
    <col min="15" max="15" width="15" style="1" customWidth="1"/>
    <col min="16" max="16384" width="8.7109375" style="1"/>
  </cols>
  <sheetData>
    <row r="2" spans="2:15" ht="50.25" customHeight="1" thickBot="1">
      <c r="B2" s="169" t="s">
        <v>760</v>
      </c>
      <c r="C2" s="169"/>
      <c r="D2" s="169"/>
      <c r="E2" s="169"/>
      <c r="F2" s="169"/>
      <c r="G2" s="169"/>
      <c r="H2" s="169"/>
      <c r="I2" s="169"/>
      <c r="J2" s="169"/>
      <c r="K2" s="169"/>
      <c r="L2" s="169"/>
      <c r="M2" s="169"/>
      <c r="N2" s="169"/>
      <c r="O2" s="169"/>
    </row>
    <row r="3" spans="2:15" ht="31.5">
      <c r="B3" s="58" t="s">
        <v>761</v>
      </c>
      <c r="C3" s="75" t="s">
        <v>762</v>
      </c>
      <c r="D3" s="75" t="s">
        <v>763</v>
      </c>
      <c r="E3" s="75" t="s">
        <v>138</v>
      </c>
      <c r="F3" s="75" t="s">
        <v>432</v>
      </c>
      <c r="G3" s="75" t="s">
        <v>21</v>
      </c>
      <c r="H3" s="75" t="s">
        <v>90</v>
      </c>
      <c r="I3" s="75" t="s">
        <v>35</v>
      </c>
      <c r="J3" s="75" t="s">
        <v>451</v>
      </c>
      <c r="K3" s="75" t="s">
        <v>56</v>
      </c>
      <c r="L3" s="75" t="s">
        <v>499</v>
      </c>
      <c r="M3" s="75" t="s">
        <v>821</v>
      </c>
      <c r="N3" s="75" t="s">
        <v>822</v>
      </c>
      <c r="O3" s="60" t="s">
        <v>764</v>
      </c>
    </row>
    <row r="4" spans="2:15" ht="15.75">
      <c r="B4" s="75" t="s">
        <v>765</v>
      </c>
      <c r="C4" s="62"/>
      <c r="D4" s="62"/>
      <c r="E4" s="62"/>
      <c r="F4" s="62"/>
      <c r="G4" s="62"/>
      <c r="H4" s="62"/>
      <c r="I4" s="62"/>
      <c r="J4" s="62"/>
      <c r="K4" s="62"/>
      <c r="L4" s="113"/>
      <c r="M4" s="113"/>
      <c r="N4" s="113"/>
      <c r="O4" s="62"/>
    </row>
    <row r="5" spans="2:15" ht="15.75">
      <c r="B5" s="76" t="s">
        <v>626</v>
      </c>
      <c r="C5" s="73">
        <v>0</v>
      </c>
      <c r="D5" s="73">
        <v>0</v>
      </c>
      <c r="E5" s="73">
        <v>0</v>
      </c>
      <c r="F5" s="73">
        <v>0</v>
      </c>
      <c r="G5" s="73">
        <v>0</v>
      </c>
      <c r="H5" s="73">
        <v>0</v>
      </c>
      <c r="I5" s="73">
        <v>0</v>
      </c>
      <c r="J5" s="73">
        <v>0</v>
      </c>
      <c r="K5" s="73">
        <v>0</v>
      </c>
      <c r="L5" s="73" t="s">
        <v>686</v>
      </c>
      <c r="M5" s="73" t="s">
        <v>686</v>
      </c>
      <c r="N5" s="73" t="s">
        <v>686</v>
      </c>
      <c r="O5" s="73"/>
    </row>
    <row r="6" spans="2:15" ht="15.75">
      <c r="B6" s="76" t="s">
        <v>627</v>
      </c>
      <c r="C6" s="73">
        <v>0</v>
      </c>
      <c r="D6" s="73">
        <v>0</v>
      </c>
      <c r="E6" s="73">
        <v>0</v>
      </c>
      <c r="F6" s="73">
        <v>0</v>
      </c>
      <c r="G6" s="73">
        <v>0</v>
      </c>
      <c r="H6" s="73">
        <v>0</v>
      </c>
      <c r="I6" s="73">
        <v>0</v>
      </c>
      <c r="J6" s="73">
        <v>0</v>
      </c>
      <c r="K6" s="73">
        <v>0</v>
      </c>
      <c r="L6" s="73" t="s">
        <v>686</v>
      </c>
      <c r="M6" s="73" t="s">
        <v>686</v>
      </c>
      <c r="N6" s="73" t="s">
        <v>686</v>
      </c>
      <c r="O6" s="73"/>
    </row>
    <row r="7" spans="2:15" ht="15.75">
      <c r="B7" s="75" t="s">
        <v>766</v>
      </c>
      <c r="C7" s="74" t="s">
        <v>686</v>
      </c>
      <c r="D7" s="74" t="s">
        <v>686</v>
      </c>
      <c r="E7" s="74" t="s">
        <v>686</v>
      </c>
      <c r="F7" s="74" t="s">
        <v>686</v>
      </c>
      <c r="G7" s="74" t="s">
        <v>686</v>
      </c>
      <c r="H7" s="74" t="s">
        <v>686</v>
      </c>
      <c r="I7" s="74" t="s">
        <v>686</v>
      </c>
      <c r="J7" s="74" t="s">
        <v>686</v>
      </c>
      <c r="K7" s="74" t="s">
        <v>686</v>
      </c>
      <c r="L7" s="74" t="s">
        <v>686</v>
      </c>
      <c r="M7" s="74" t="s">
        <v>686</v>
      </c>
      <c r="N7" s="74" t="s">
        <v>686</v>
      </c>
      <c r="O7" s="74"/>
    </row>
    <row r="8" spans="2:15" ht="15.75">
      <c r="B8" s="76" t="s">
        <v>628</v>
      </c>
      <c r="C8" s="73">
        <v>1</v>
      </c>
      <c r="D8" s="73">
        <v>0</v>
      </c>
      <c r="E8" s="73">
        <v>0</v>
      </c>
      <c r="F8" s="73">
        <v>0</v>
      </c>
      <c r="G8" s="73">
        <v>0</v>
      </c>
      <c r="H8" s="73">
        <v>0</v>
      </c>
      <c r="I8" s="73">
        <v>0</v>
      </c>
      <c r="J8" s="73">
        <v>0</v>
      </c>
      <c r="K8" s="73">
        <v>0</v>
      </c>
      <c r="L8" s="73" t="s">
        <v>686</v>
      </c>
      <c r="M8" s="73" t="s">
        <v>686</v>
      </c>
      <c r="N8" s="73" t="s">
        <v>686</v>
      </c>
      <c r="O8" s="73"/>
    </row>
    <row r="9" spans="2:15" ht="15.75">
      <c r="B9" s="75" t="s">
        <v>767</v>
      </c>
      <c r="C9" s="74" t="s">
        <v>686</v>
      </c>
      <c r="D9" s="74" t="s">
        <v>686</v>
      </c>
      <c r="E9" s="74" t="s">
        <v>686</v>
      </c>
      <c r="F9" s="74" t="s">
        <v>686</v>
      </c>
      <c r="G9" s="74" t="s">
        <v>686</v>
      </c>
      <c r="H9" s="74" t="s">
        <v>686</v>
      </c>
      <c r="I9" s="74" t="s">
        <v>686</v>
      </c>
      <c r="J9" s="74" t="s">
        <v>686</v>
      </c>
      <c r="K9" s="74" t="s">
        <v>686</v>
      </c>
      <c r="L9" s="74" t="s">
        <v>686</v>
      </c>
      <c r="M9" s="74" t="s">
        <v>686</v>
      </c>
      <c r="N9" s="74" t="s">
        <v>686</v>
      </c>
      <c r="O9" s="74"/>
    </row>
    <row r="10" spans="2:15" ht="15.75">
      <c r="B10" s="76" t="s">
        <v>629</v>
      </c>
      <c r="C10" s="73">
        <v>0</v>
      </c>
      <c r="D10" s="73">
        <v>0</v>
      </c>
      <c r="E10" s="73">
        <v>0</v>
      </c>
      <c r="F10" s="73">
        <v>0</v>
      </c>
      <c r="G10" s="73">
        <v>0</v>
      </c>
      <c r="H10" s="73">
        <v>0</v>
      </c>
      <c r="I10" s="73">
        <v>0</v>
      </c>
      <c r="J10" s="73">
        <v>0</v>
      </c>
      <c r="K10" s="73">
        <v>0</v>
      </c>
      <c r="L10" s="73" t="s">
        <v>686</v>
      </c>
      <c r="M10" s="73" t="s">
        <v>686</v>
      </c>
      <c r="N10" s="73" t="s">
        <v>686</v>
      </c>
      <c r="O10" s="73"/>
    </row>
    <row r="11" spans="2:15" ht="15.75">
      <c r="B11" s="76" t="s">
        <v>630</v>
      </c>
      <c r="C11" s="73">
        <v>1</v>
      </c>
      <c r="D11" s="73">
        <v>0</v>
      </c>
      <c r="E11" s="73">
        <v>0</v>
      </c>
      <c r="F11" s="73">
        <v>0</v>
      </c>
      <c r="G11" s="73">
        <v>0</v>
      </c>
      <c r="H11" s="73">
        <v>0</v>
      </c>
      <c r="I11" s="73">
        <v>0</v>
      </c>
      <c r="J11" s="73">
        <v>0</v>
      </c>
      <c r="K11" s="73">
        <v>0</v>
      </c>
      <c r="L11" s="73" t="s">
        <v>686</v>
      </c>
      <c r="M11" s="73" t="s">
        <v>686</v>
      </c>
      <c r="N11" s="73" t="s">
        <v>686</v>
      </c>
      <c r="O11" s="73"/>
    </row>
    <row r="12" spans="2:15" ht="15.75">
      <c r="B12" s="76" t="s">
        <v>631</v>
      </c>
      <c r="C12" s="73">
        <v>25</v>
      </c>
      <c r="D12" s="73">
        <v>25</v>
      </c>
      <c r="E12" s="73">
        <v>20</v>
      </c>
      <c r="F12" s="73">
        <v>12</v>
      </c>
      <c r="G12" s="73">
        <v>6</v>
      </c>
      <c r="H12" s="73">
        <v>0</v>
      </c>
      <c r="I12" s="73">
        <v>0</v>
      </c>
      <c r="J12" s="73">
        <v>0</v>
      </c>
      <c r="K12" s="73">
        <v>0</v>
      </c>
      <c r="L12" s="73" t="s">
        <v>686</v>
      </c>
      <c r="M12" s="73" t="s">
        <v>686</v>
      </c>
      <c r="N12" s="73" t="s">
        <v>686</v>
      </c>
      <c r="O12" s="73"/>
    </row>
    <row r="13" spans="2:15" ht="15.75">
      <c r="B13" s="76" t="s">
        <v>632</v>
      </c>
      <c r="C13" s="73">
        <v>26</v>
      </c>
      <c r="D13" s="73">
        <v>19</v>
      </c>
      <c r="E13" s="73">
        <v>15</v>
      </c>
      <c r="F13" s="73">
        <v>12</v>
      </c>
      <c r="G13" s="73">
        <v>6</v>
      </c>
      <c r="H13" s="73">
        <v>0</v>
      </c>
      <c r="I13" s="73">
        <v>0</v>
      </c>
      <c r="J13" s="73">
        <v>0</v>
      </c>
      <c r="K13" s="73">
        <v>0</v>
      </c>
      <c r="L13" s="73" t="s">
        <v>686</v>
      </c>
      <c r="M13" s="73" t="s">
        <v>686</v>
      </c>
      <c r="N13" s="73" t="s">
        <v>686</v>
      </c>
      <c r="O13" s="73"/>
    </row>
    <row r="14" spans="2:15" ht="15.75">
      <c r="B14" s="105" t="s">
        <v>633</v>
      </c>
      <c r="C14" s="73">
        <v>2</v>
      </c>
      <c r="D14" s="73">
        <v>1</v>
      </c>
      <c r="E14" s="73">
        <v>0</v>
      </c>
      <c r="F14" s="73">
        <v>0</v>
      </c>
      <c r="G14" s="73">
        <v>0</v>
      </c>
      <c r="H14" s="73">
        <v>0</v>
      </c>
      <c r="I14" s="73">
        <v>0</v>
      </c>
      <c r="J14" s="73">
        <v>0</v>
      </c>
      <c r="K14" s="73">
        <v>0</v>
      </c>
      <c r="L14" s="73" t="s">
        <v>686</v>
      </c>
      <c r="M14" s="73" t="s">
        <v>686</v>
      </c>
      <c r="N14" s="73" t="s">
        <v>686</v>
      </c>
      <c r="O14" s="73"/>
    </row>
    <row r="15" spans="2:15" ht="15.75">
      <c r="B15" s="75" t="s">
        <v>768</v>
      </c>
      <c r="C15" s="74" t="s">
        <v>686</v>
      </c>
      <c r="D15" s="74" t="s">
        <v>686</v>
      </c>
      <c r="E15" s="74" t="s">
        <v>686</v>
      </c>
      <c r="F15" s="74" t="s">
        <v>686</v>
      </c>
      <c r="G15" s="74" t="s">
        <v>686</v>
      </c>
      <c r="H15" s="74" t="s">
        <v>686</v>
      </c>
      <c r="I15" s="74" t="s">
        <v>686</v>
      </c>
      <c r="J15" s="74" t="s">
        <v>686</v>
      </c>
      <c r="K15" s="74" t="s">
        <v>686</v>
      </c>
      <c r="L15" s="74" t="s">
        <v>686</v>
      </c>
      <c r="M15" s="74" t="s">
        <v>686</v>
      </c>
      <c r="N15" s="74" t="s">
        <v>686</v>
      </c>
      <c r="O15" s="74"/>
    </row>
    <row r="16" spans="2:15" ht="15.75">
      <c r="B16" s="76" t="s">
        <v>634</v>
      </c>
      <c r="C16" s="73">
        <v>1</v>
      </c>
      <c r="D16" s="73">
        <v>0</v>
      </c>
      <c r="E16" s="73">
        <v>0</v>
      </c>
      <c r="F16" s="73">
        <v>0</v>
      </c>
      <c r="G16" s="73">
        <v>0</v>
      </c>
      <c r="H16" s="73">
        <v>0</v>
      </c>
      <c r="I16" s="73">
        <v>0</v>
      </c>
      <c r="J16" s="73">
        <v>0</v>
      </c>
      <c r="K16" s="73">
        <v>0</v>
      </c>
      <c r="L16" s="73" t="s">
        <v>686</v>
      </c>
      <c r="M16" s="73" t="s">
        <v>686</v>
      </c>
      <c r="N16" s="73" t="s">
        <v>686</v>
      </c>
      <c r="O16" s="73"/>
    </row>
    <row r="17" spans="1:281" ht="15.75">
      <c r="B17" s="76" t="s">
        <v>635</v>
      </c>
      <c r="C17" s="73">
        <v>19</v>
      </c>
      <c r="D17" s="73">
        <v>13</v>
      </c>
      <c r="E17" s="73">
        <v>13</v>
      </c>
      <c r="F17" s="73">
        <v>11</v>
      </c>
      <c r="G17" s="73">
        <v>10</v>
      </c>
      <c r="H17" s="73">
        <v>9</v>
      </c>
      <c r="I17" s="73">
        <v>9</v>
      </c>
      <c r="J17" s="73">
        <v>3</v>
      </c>
      <c r="K17" s="73">
        <v>0</v>
      </c>
      <c r="L17" s="73" t="s">
        <v>686</v>
      </c>
      <c r="M17" s="73" t="s">
        <v>686</v>
      </c>
      <c r="N17" s="73" t="s">
        <v>686</v>
      </c>
      <c r="O17" s="73"/>
    </row>
    <row r="18" spans="1:281" ht="15.75">
      <c r="B18" s="76" t="s">
        <v>636</v>
      </c>
      <c r="C18" s="73">
        <v>0</v>
      </c>
      <c r="D18" s="73">
        <v>0</v>
      </c>
      <c r="E18" s="73">
        <v>0</v>
      </c>
      <c r="F18" s="73">
        <v>0</v>
      </c>
      <c r="G18" s="73">
        <v>0</v>
      </c>
      <c r="H18" s="73">
        <v>0</v>
      </c>
      <c r="I18" s="73">
        <v>0</v>
      </c>
      <c r="J18" s="73">
        <v>0</v>
      </c>
      <c r="K18" s="73">
        <v>0</v>
      </c>
      <c r="L18" s="73" t="s">
        <v>686</v>
      </c>
      <c r="M18" s="73" t="s">
        <v>686</v>
      </c>
      <c r="N18" s="73" t="s">
        <v>686</v>
      </c>
      <c r="O18" s="73"/>
    </row>
    <row r="19" spans="1:281" ht="15.75">
      <c r="B19" s="76" t="s">
        <v>637</v>
      </c>
      <c r="C19" s="73">
        <v>20</v>
      </c>
      <c r="D19" s="73">
        <v>10</v>
      </c>
      <c r="E19" s="73">
        <v>3</v>
      </c>
      <c r="F19" s="73">
        <v>0</v>
      </c>
      <c r="G19" s="73">
        <v>0</v>
      </c>
      <c r="H19" s="73">
        <v>0</v>
      </c>
      <c r="I19" s="73">
        <v>0</v>
      </c>
      <c r="J19" s="73">
        <v>1</v>
      </c>
      <c r="K19" s="73">
        <v>0</v>
      </c>
      <c r="L19" s="73" t="s">
        <v>686</v>
      </c>
      <c r="M19" s="73" t="s">
        <v>686</v>
      </c>
      <c r="N19" s="73" t="s">
        <v>686</v>
      </c>
      <c r="O19" s="73"/>
    </row>
    <row r="20" spans="1:281" ht="15.75">
      <c r="B20" s="76" t="s">
        <v>638</v>
      </c>
      <c r="C20" s="73">
        <v>0</v>
      </c>
      <c r="D20" s="73">
        <v>0</v>
      </c>
      <c r="E20" s="73">
        <v>0</v>
      </c>
      <c r="F20" s="73">
        <v>0</v>
      </c>
      <c r="G20" s="73">
        <v>0</v>
      </c>
      <c r="H20" s="73">
        <v>0</v>
      </c>
      <c r="I20" s="73">
        <v>0</v>
      </c>
      <c r="J20" s="73">
        <v>0</v>
      </c>
      <c r="K20" s="73">
        <v>0</v>
      </c>
      <c r="L20" s="73" t="s">
        <v>686</v>
      </c>
      <c r="M20" s="73" t="s">
        <v>686</v>
      </c>
      <c r="N20" s="73" t="s">
        <v>686</v>
      </c>
      <c r="O20" s="73"/>
    </row>
    <row r="21" spans="1:281" ht="15.75">
      <c r="B21" s="75" t="s">
        <v>769</v>
      </c>
      <c r="C21" s="74" t="s">
        <v>686</v>
      </c>
      <c r="D21" s="74" t="s">
        <v>686</v>
      </c>
      <c r="E21" s="74" t="s">
        <v>686</v>
      </c>
      <c r="F21" s="74" t="s">
        <v>686</v>
      </c>
      <c r="G21" s="74" t="s">
        <v>686</v>
      </c>
      <c r="H21" s="74" t="s">
        <v>686</v>
      </c>
      <c r="I21" s="74" t="s">
        <v>686</v>
      </c>
      <c r="J21" s="74" t="s">
        <v>686</v>
      </c>
      <c r="K21" s="74" t="s">
        <v>686</v>
      </c>
      <c r="L21" s="74" t="s">
        <v>686</v>
      </c>
      <c r="M21" s="74" t="s">
        <v>686</v>
      </c>
      <c r="N21" s="74" t="s">
        <v>686</v>
      </c>
      <c r="O21" s="74"/>
    </row>
    <row r="22" spans="1:281" s="61" customFormat="1" ht="15.75">
      <c r="A22" s="59"/>
      <c r="B22" s="76" t="s">
        <v>639</v>
      </c>
      <c r="C22" s="73">
        <v>11</v>
      </c>
      <c r="D22" s="73">
        <v>6</v>
      </c>
      <c r="E22" s="73">
        <v>0</v>
      </c>
      <c r="F22" s="73">
        <v>0</v>
      </c>
      <c r="G22" s="73">
        <v>0</v>
      </c>
      <c r="H22" s="73">
        <v>0</v>
      </c>
      <c r="I22" s="73">
        <v>0</v>
      </c>
      <c r="J22" s="73">
        <v>0</v>
      </c>
      <c r="K22" s="73">
        <v>0</v>
      </c>
      <c r="L22" s="73" t="s">
        <v>686</v>
      </c>
      <c r="M22" s="73" t="s">
        <v>686</v>
      </c>
      <c r="N22" s="73" t="s">
        <v>686</v>
      </c>
      <c r="O22" s="73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  <c r="EG22" s="1"/>
      <c r="EH22" s="1"/>
      <c r="EI22" s="1"/>
      <c r="EJ22" s="1"/>
      <c r="EK22" s="1"/>
      <c r="EL22" s="1"/>
      <c r="EM22" s="1"/>
      <c r="EN22" s="1"/>
      <c r="EO22" s="1"/>
      <c r="EP22" s="1"/>
      <c r="EQ22" s="1"/>
      <c r="ER22" s="1"/>
      <c r="ES22" s="1"/>
      <c r="ET22" s="1"/>
      <c r="EU22" s="1"/>
      <c r="EV22" s="1"/>
      <c r="EW22" s="1"/>
      <c r="EX22" s="1"/>
      <c r="EY22" s="1"/>
      <c r="EZ22" s="1"/>
      <c r="FA22" s="1"/>
      <c r="FB22" s="1"/>
      <c r="FC22" s="1"/>
      <c r="FD22" s="1"/>
      <c r="FE22" s="1"/>
      <c r="FF22" s="1"/>
      <c r="FG22" s="1"/>
      <c r="FH22" s="1"/>
      <c r="FI22" s="1"/>
      <c r="FJ22" s="1"/>
      <c r="FK22" s="1"/>
      <c r="FL22" s="1"/>
      <c r="FM22" s="1"/>
      <c r="FN22" s="1"/>
      <c r="FO22" s="1"/>
      <c r="FP22" s="1"/>
      <c r="FQ22" s="1"/>
      <c r="FR22" s="1"/>
      <c r="FS22" s="1"/>
      <c r="FT22" s="1"/>
      <c r="FU22" s="1"/>
      <c r="FV22" s="1"/>
      <c r="FW22" s="1"/>
      <c r="FX22" s="1"/>
      <c r="FY22" s="1"/>
      <c r="FZ22" s="1"/>
      <c r="GA22" s="1"/>
      <c r="GB22" s="1"/>
      <c r="GC22" s="1"/>
      <c r="GD22" s="1"/>
      <c r="GE22" s="1"/>
      <c r="GF22" s="1"/>
      <c r="GG22" s="1"/>
      <c r="GH22" s="1"/>
      <c r="GI22" s="1"/>
      <c r="GJ22" s="1"/>
      <c r="GK22" s="1"/>
      <c r="GL22" s="1"/>
      <c r="GM22" s="1"/>
      <c r="GN22" s="1"/>
      <c r="GO22" s="1"/>
      <c r="GP22" s="1"/>
      <c r="GQ22" s="1"/>
      <c r="GR22" s="1"/>
      <c r="GS22" s="1"/>
      <c r="GT22" s="1"/>
      <c r="GU22" s="1"/>
      <c r="GV22" s="1"/>
      <c r="GW22" s="1"/>
      <c r="GX22" s="1"/>
      <c r="GY22" s="1"/>
      <c r="GZ22" s="1"/>
      <c r="HA22" s="1"/>
      <c r="HB22" s="1"/>
      <c r="HC22" s="1"/>
      <c r="HD22" s="1"/>
      <c r="HE22" s="1"/>
      <c r="HF22" s="1"/>
      <c r="HG22" s="1"/>
      <c r="HH22" s="1"/>
      <c r="HI22" s="1"/>
      <c r="HJ22" s="1"/>
      <c r="HK22" s="1"/>
      <c r="HL22" s="1"/>
      <c r="HM22" s="1"/>
      <c r="HN22" s="1"/>
      <c r="HO22" s="1"/>
      <c r="HP22" s="1"/>
      <c r="HQ22" s="1"/>
      <c r="HR22" s="1"/>
      <c r="HS22" s="1"/>
      <c r="HT22" s="1"/>
      <c r="HU22" s="1"/>
      <c r="HV22" s="1"/>
      <c r="HW22" s="1"/>
      <c r="HX22" s="1"/>
      <c r="HY22" s="1"/>
      <c r="HZ22" s="1"/>
      <c r="IA22" s="1"/>
      <c r="IB22" s="1"/>
      <c r="IC22" s="1"/>
      <c r="ID22" s="1"/>
      <c r="IE22" s="1"/>
      <c r="IF22" s="1"/>
      <c r="IG22" s="1"/>
      <c r="IH22" s="1"/>
      <c r="II22" s="1"/>
      <c r="IJ22" s="1"/>
      <c r="IK22" s="1"/>
      <c r="IL22" s="1"/>
      <c r="IM22" s="1"/>
      <c r="IN22" s="1"/>
      <c r="IO22" s="1"/>
      <c r="IP22" s="1"/>
      <c r="IQ22" s="1"/>
      <c r="IR22" s="1"/>
      <c r="IS22" s="1"/>
      <c r="IT22" s="1"/>
      <c r="IU22" s="1"/>
      <c r="IV22" s="1"/>
      <c r="IW22" s="1"/>
      <c r="IX22" s="1"/>
      <c r="IY22" s="1"/>
      <c r="IZ22" s="1"/>
      <c r="JA22" s="1"/>
      <c r="JB22" s="1"/>
      <c r="JC22" s="1"/>
      <c r="JD22" s="1"/>
      <c r="JE22" s="1"/>
      <c r="JF22" s="1"/>
      <c r="JG22" s="1"/>
      <c r="JH22" s="1"/>
      <c r="JI22" s="1"/>
      <c r="JJ22" s="1"/>
      <c r="JK22" s="1"/>
      <c r="JL22" s="1"/>
      <c r="JM22" s="1"/>
      <c r="JN22" s="1"/>
      <c r="JO22" s="1"/>
      <c r="JP22" s="1"/>
      <c r="JQ22" s="1"/>
      <c r="JR22" s="1"/>
      <c r="JS22" s="1"/>
      <c r="JT22" s="1"/>
      <c r="JU22" s="1"/>
    </row>
    <row r="23" spans="1:281" s="61" customFormat="1" ht="15.75">
      <c r="A23" s="59"/>
      <c r="B23" s="76" t="s">
        <v>770</v>
      </c>
      <c r="C23" s="73">
        <v>11</v>
      </c>
      <c r="D23" s="73">
        <v>6</v>
      </c>
      <c r="E23" s="73">
        <v>0</v>
      </c>
      <c r="F23" s="73">
        <v>1</v>
      </c>
      <c r="G23" s="73">
        <v>1</v>
      </c>
      <c r="H23" s="73">
        <v>1</v>
      </c>
      <c r="I23" s="73">
        <v>1</v>
      </c>
      <c r="J23" s="73">
        <v>1</v>
      </c>
      <c r="K23" s="73">
        <v>0</v>
      </c>
      <c r="L23" s="73" t="s">
        <v>686</v>
      </c>
      <c r="M23" s="73" t="s">
        <v>686</v>
      </c>
      <c r="N23" s="73" t="s">
        <v>686</v>
      </c>
      <c r="O23" s="73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  <c r="EG23" s="1"/>
      <c r="EH23" s="1"/>
      <c r="EI23" s="1"/>
      <c r="EJ23" s="1"/>
      <c r="EK23" s="1"/>
      <c r="EL23" s="1"/>
      <c r="EM23" s="1"/>
      <c r="EN23" s="1"/>
      <c r="EO23" s="1"/>
      <c r="EP23" s="1"/>
      <c r="EQ23" s="1"/>
      <c r="ER23" s="1"/>
      <c r="ES23" s="1"/>
      <c r="ET23" s="1"/>
      <c r="EU23" s="1"/>
      <c r="EV23" s="1"/>
      <c r="EW23" s="1"/>
      <c r="EX23" s="1"/>
      <c r="EY23" s="1"/>
      <c r="EZ23" s="1"/>
      <c r="FA23" s="1"/>
      <c r="FB23" s="1"/>
      <c r="FC23" s="1"/>
      <c r="FD23" s="1"/>
      <c r="FE23" s="1"/>
      <c r="FF23" s="1"/>
      <c r="FG23" s="1"/>
      <c r="FH23" s="1"/>
      <c r="FI23" s="1"/>
      <c r="FJ23" s="1"/>
      <c r="FK23" s="1"/>
      <c r="FL23" s="1"/>
      <c r="FM23" s="1"/>
      <c r="FN23" s="1"/>
      <c r="FO23" s="1"/>
      <c r="FP23" s="1"/>
      <c r="FQ23" s="1"/>
      <c r="FR23" s="1"/>
      <c r="FS23" s="1"/>
      <c r="FT23" s="1"/>
      <c r="FU23" s="1"/>
      <c r="FV23" s="1"/>
      <c r="FW23" s="1"/>
      <c r="FX23" s="1"/>
      <c r="FY23" s="1"/>
      <c r="FZ23" s="1"/>
      <c r="GA23" s="1"/>
      <c r="GB23" s="1"/>
      <c r="GC23" s="1"/>
      <c r="GD23" s="1"/>
      <c r="GE23" s="1"/>
      <c r="GF23" s="1"/>
      <c r="GG23" s="1"/>
      <c r="GH23" s="1"/>
      <c r="GI23" s="1"/>
      <c r="GJ23" s="1"/>
      <c r="GK23" s="1"/>
      <c r="GL23" s="1"/>
      <c r="GM23" s="1"/>
      <c r="GN23" s="1"/>
      <c r="GO23" s="1"/>
      <c r="GP23" s="1"/>
      <c r="GQ23" s="1"/>
      <c r="GR23" s="1"/>
      <c r="GS23" s="1"/>
      <c r="GT23" s="1"/>
      <c r="GU23" s="1"/>
      <c r="GV23" s="1"/>
      <c r="GW23" s="1"/>
      <c r="GX23" s="1"/>
      <c r="GY23" s="1"/>
      <c r="GZ23" s="1"/>
      <c r="HA23" s="1"/>
      <c r="HB23" s="1"/>
      <c r="HC23" s="1"/>
      <c r="HD23" s="1"/>
      <c r="HE23" s="1"/>
      <c r="HF23" s="1"/>
      <c r="HG23" s="1"/>
      <c r="HH23" s="1"/>
      <c r="HI23" s="1"/>
      <c r="HJ23" s="1"/>
      <c r="HK23" s="1"/>
      <c r="HL23" s="1"/>
      <c r="HM23" s="1"/>
      <c r="HN23" s="1"/>
      <c r="HO23" s="1"/>
      <c r="HP23" s="1"/>
      <c r="HQ23" s="1"/>
      <c r="HR23" s="1"/>
      <c r="HS23" s="1"/>
      <c r="HT23" s="1"/>
      <c r="HU23" s="1"/>
      <c r="HV23" s="1"/>
      <c r="HW23" s="1"/>
      <c r="HX23" s="1"/>
      <c r="HY23" s="1"/>
      <c r="HZ23" s="1"/>
      <c r="IA23" s="1"/>
      <c r="IB23" s="1"/>
      <c r="IC23" s="1"/>
      <c r="ID23" s="1"/>
      <c r="IE23" s="1"/>
      <c r="IF23" s="1"/>
      <c r="IG23" s="1"/>
      <c r="IH23" s="1"/>
      <c r="II23" s="1"/>
      <c r="IJ23" s="1"/>
      <c r="IK23" s="1"/>
      <c r="IL23" s="1"/>
      <c r="IM23" s="1"/>
      <c r="IN23" s="1"/>
      <c r="IO23" s="1"/>
      <c r="IP23" s="1"/>
      <c r="IQ23" s="1"/>
      <c r="IR23" s="1"/>
      <c r="IS23" s="1"/>
      <c r="IT23" s="1"/>
      <c r="IU23" s="1"/>
      <c r="IV23" s="1"/>
      <c r="IW23" s="1"/>
      <c r="IX23" s="1"/>
      <c r="IY23" s="1"/>
      <c r="IZ23" s="1"/>
      <c r="JA23" s="1"/>
      <c r="JB23" s="1"/>
      <c r="JC23" s="1"/>
      <c r="JD23" s="1"/>
      <c r="JE23" s="1"/>
      <c r="JF23" s="1"/>
      <c r="JG23" s="1"/>
      <c r="JH23" s="1"/>
      <c r="JI23" s="1"/>
      <c r="JJ23" s="1"/>
      <c r="JK23" s="1"/>
      <c r="JL23" s="1"/>
      <c r="JM23" s="1"/>
      <c r="JN23" s="1"/>
      <c r="JO23" s="1"/>
      <c r="JP23" s="1"/>
      <c r="JQ23" s="1"/>
      <c r="JR23" s="1"/>
      <c r="JS23" s="1"/>
      <c r="JT23" s="1"/>
      <c r="JU23" s="1"/>
    </row>
    <row r="24" spans="1:281" ht="15.75">
      <c r="B24" s="76" t="s">
        <v>771</v>
      </c>
      <c r="C24" s="73">
        <v>0</v>
      </c>
      <c r="D24" s="73">
        <v>0</v>
      </c>
      <c r="E24" s="73">
        <v>0</v>
      </c>
      <c r="F24" s="73">
        <v>0</v>
      </c>
      <c r="G24" s="73">
        <v>0</v>
      </c>
      <c r="H24" s="73">
        <v>0</v>
      </c>
      <c r="I24" s="73">
        <v>0</v>
      </c>
      <c r="J24" s="73">
        <v>0</v>
      </c>
      <c r="K24" s="73">
        <v>0</v>
      </c>
      <c r="L24" s="73" t="s">
        <v>686</v>
      </c>
      <c r="M24" s="73" t="s">
        <v>686</v>
      </c>
      <c r="N24" s="73" t="s">
        <v>686</v>
      </c>
      <c r="O24" s="73"/>
    </row>
    <row r="25" spans="1:281" ht="15.75">
      <c r="B25" s="76" t="s">
        <v>642</v>
      </c>
      <c r="C25" s="73">
        <v>21</v>
      </c>
      <c r="D25" s="73">
        <v>16</v>
      </c>
      <c r="E25" s="73">
        <v>12</v>
      </c>
      <c r="F25" s="73">
        <v>12</v>
      </c>
      <c r="G25" s="73">
        <v>12</v>
      </c>
      <c r="H25" s="73">
        <v>10</v>
      </c>
      <c r="I25" s="73">
        <v>10</v>
      </c>
      <c r="J25" s="73">
        <v>4</v>
      </c>
      <c r="K25" s="73">
        <v>0</v>
      </c>
      <c r="L25" s="73" t="s">
        <v>686</v>
      </c>
      <c r="M25" s="73" t="s">
        <v>686</v>
      </c>
      <c r="N25" s="73" t="s">
        <v>686</v>
      </c>
      <c r="O25" s="73"/>
    </row>
    <row r="26" spans="1:281" ht="15.75">
      <c r="B26" s="76" t="s">
        <v>643</v>
      </c>
      <c r="C26" s="73">
        <v>22</v>
      </c>
      <c r="D26" s="73">
        <v>17</v>
      </c>
      <c r="E26" s="73">
        <v>13</v>
      </c>
      <c r="F26" s="73">
        <v>12</v>
      </c>
      <c r="G26" s="73">
        <v>12</v>
      </c>
      <c r="H26" s="73">
        <v>10</v>
      </c>
      <c r="I26" s="73">
        <v>10</v>
      </c>
      <c r="J26" s="73">
        <v>4</v>
      </c>
      <c r="K26" s="73">
        <v>0</v>
      </c>
      <c r="L26" s="73" t="s">
        <v>686</v>
      </c>
      <c r="M26" s="73" t="s">
        <v>686</v>
      </c>
      <c r="N26" s="73" t="s">
        <v>686</v>
      </c>
      <c r="O26" s="73"/>
    </row>
    <row r="27" spans="1:281" ht="15.75">
      <c r="B27" s="75" t="s">
        <v>772</v>
      </c>
      <c r="C27" s="74" t="s">
        <v>686</v>
      </c>
      <c r="D27" s="74" t="s">
        <v>686</v>
      </c>
      <c r="E27" s="74" t="s">
        <v>686</v>
      </c>
      <c r="F27" s="74" t="s">
        <v>686</v>
      </c>
      <c r="G27" s="74" t="s">
        <v>686</v>
      </c>
      <c r="H27" s="74" t="s">
        <v>686</v>
      </c>
      <c r="I27" s="74" t="s">
        <v>686</v>
      </c>
      <c r="J27" s="74" t="s">
        <v>686</v>
      </c>
      <c r="K27" s="74" t="s">
        <v>686</v>
      </c>
      <c r="L27" s="74" t="s">
        <v>686</v>
      </c>
      <c r="M27" s="74" t="s">
        <v>686</v>
      </c>
      <c r="N27" s="74" t="s">
        <v>686</v>
      </c>
      <c r="O27" s="74"/>
    </row>
    <row r="28" spans="1:281" ht="15.75">
      <c r="B28" s="76" t="s">
        <v>644</v>
      </c>
      <c r="C28" s="73">
        <v>1</v>
      </c>
      <c r="D28" s="73">
        <v>0</v>
      </c>
      <c r="E28" s="73">
        <v>0</v>
      </c>
      <c r="F28" s="73">
        <v>0</v>
      </c>
      <c r="G28" s="73">
        <v>0</v>
      </c>
      <c r="H28" s="73">
        <v>0</v>
      </c>
      <c r="I28" s="73">
        <v>0</v>
      </c>
      <c r="J28" s="73">
        <v>0</v>
      </c>
      <c r="K28" s="73">
        <v>0</v>
      </c>
      <c r="L28" s="73" t="s">
        <v>686</v>
      </c>
      <c r="M28" s="73" t="s">
        <v>686</v>
      </c>
      <c r="N28" s="73" t="s">
        <v>686</v>
      </c>
      <c r="O28" s="73"/>
    </row>
    <row r="32" spans="1:281">
      <c r="B32" s="111" t="s">
        <v>773</v>
      </c>
    </row>
    <row r="33" spans="2:2">
      <c r="B33" s="110" t="s">
        <v>774</v>
      </c>
    </row>
    <row r="34" spans="2:2">
      <c r="B34" s="110" t="s">
        <v>775</v>
      </c>
    </row>
    <row r="35" spans="2:2">
      <c r="B35" s="110" t="s">
        <v>776</v>
      </c>
    </row>
    <row r="36" spans="2:2">
      <c r="B36" s="110" t="s">
        <v>777</v>
      </c>
    </row>
    <row r="37" spans="2:2">
      <c r="B37" s="109"/>
    </row>
    <row r="38" spans="2:2">
      <c r="B38" s="109"/>
    </row>
    <row r="39" spans="2:2">
      <c r="B39" s="111" t="s">
        <v>778</v>
      </c>
    </row>
    <row r="40" spans="2:2">
      <c r="B40" s="110" t="s">
        <v>779</v>
      </c>
    </row>
    <row r="41" spans="2:2">
      <c r="B41" s="110" t="s">
        <v>780</v>
      </c>
    </row>
    <row r="42" spans="2:2">
      <c r="B42" s="110" t="s">
        <v>781</v>
      </c>
    </row>
    <row r="43" spans="2:2">
      <c r="B43" s="110" t="s">
        <v>782</v>
      </c>
    </row>
    <row r="44" spans="2:2">
      <c r="B44" s="110" t="s">
        <v>783</v>
      </c>
    </row>
    <row r="45" spans="2:2">
      <c r="B45" s="109"/>
    </row>
    <row r="46" spans="2:2">
      <c r="B46" s="109"/>
    </row>
    <row r="47" spans="2:2">
      <c r="B47" s="111" t="s">
        <v>784</v>
      </c>
    </row>
    <row r="48" spans="2:2">
      <c r="B48" s="110" t="s">
        <v>785</v>
      </c>
    </row>
    <row r="49" spans="2:2">
      <c r="B49" s="110" t="s">
        <v>786</v>
      </c>
    </row>
    <row r="50" spans="2:2">
      <c r="B50" s="110" t="s">
        <v>787</v>
      </c>
    </row>
    <row r="51" spans="2:2">
      <c r="B51" s="110" t="s">
        <v>788</v>
      </c>
    </row>
    <row r="52" spans="2:2">
      <c r="B52" s="109"/>
    </row>
    <row r="53" spans="2:2">
      <c r="B53" s="109"/>
    </row>
    <row r="54" spans="2:2">
      <c r="B54" s="111" t="s">
        <v>789</v>
      </c>
    </row>
    <row r="55" spans="2:2">
      <c r="B55" s="110" t="s">
        <v>790</v>
      </c>
    </row>
    <row r="56" spans="2:2">
      <c r="B56" s="110" t="s">
        <v>791</v>
      </c>
    </row>
    <row r="57" spans="2:2">
      <c r="B57" s="110" t="s">
        <v>792</v>
      </c>
    </row>
    <row r="58" spans="2:2">
      <c r="B58" s="110" t="s">
        <v>793</v>
      </c>
    </row>
    <row r="59" spans="2:2">
      <c r="B59" s="109"/>
    </row>
    <row r="60" spans="2:2">
      <c r="B60" s="109"/>
    </row>
    <row r="61" spans="2:2">
      <c r="B61" s="111" t="s">
        <v>794</v>
      </c>
    </row>
    <row r="62" spans="2:2">
      <c r="B62" s="110" t="s">
        <v>795</v>
      </c>
    </row>
    <row r="63" spans="2:2">
      <c r="B63" s="110" t="s">
        <v>796</v>
      </c>
    </row>
    <row r="64" spans="2:2">
      <c r="B64" s="110" t="s">
        <v>797</v>
      </c>
    </row>
    <row r="65" spans="2:2">
      <c r="B65" s="110" t="s">
        <v>798</v>
      </c>
    </row>
    <row r="66" spans="2:2">
      <c r="B66" s="109" t="s">
        <v>799</v>
      </c>
    </row>
    <row r="67" spans="2:2">
      <c r="B67" s="109"/>
    </row>
    <row r="68" spans="2:2">
      <c r="B68" s="111" t="s">
        <v>800</v>
      </c>
    </row>
    <row r="69" spans="2:2">
      <c r="B69" s="110" t="s">
        <v>801</v>
      </c>
    </row>
    <row r="70" spans="2:2">
      <c r="B70" s="110" t="s">
        <v>802</v>
      </c>
    </row>
  </sheetData>
  <mergeCells count="1">
    <mergeCell ref="B2:O2"/>
  </mergeCells>
  <phoneticPr fontId="49" type="noConversion"/>
  <conditionalFormatting sqref="C5:O28">
    <cfRule type="cellIs" dxfId="4" priority="2" operator="between">
      <formula>1</formula>
      <formula>10</formula>
    </cfRule>
    <cfRule type="cellIs" dxfId="3" priority="3" operator="between">
      <formula>11</formula>
      <formula>100</formula>
    </cfRule>
  </conditionalFormatting>
  <conditionalFormatting sqref="C5:N28">
    <cfRule type="cellIs" dxfId="2" priority="1" operator="equal">
      <formula>0</formula>
    </cfRule>
  </conditionalFormatting>
  <pageMargins left="0.511811024" right="0.511811024" top="0.78740157499999996" bottom="0.78740157499999996" header="0.31496062000000002" footer="0.31496062000000002"/>
  <pageSetup orientation="portrait" r:id="rId1"/>
  <headerFooter>
    <oddFooter>&amp;R_x000D_&amp;1#&amp;"Arial"&amp;10&amp;K000000 Confidential C</oddFooter>
  </headerFooter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7E0690-2B12-4177-87A8-9366F2038A6F}">
  <sheetPr codeName="Hoja2"/>
  <dimension ref="B1:I21"/>
  <sheetViews>
    <sheetView workbookViewId="0">
      <selection activeCell="E11" sqref="E11"/>
    </sheetView>
  </sheetViews>
  <sheetFormatPr baseColWidth="10" defaultColWidth="11.42578125" defaultRowHeight="15"/>
  <cols>
    <col min="1" max="1" width="4.42578125" style="1" customWidth="1"/>
    <col min="2" max="3" width="11.42578125" style="1"/>
    <col min="4" max="4" width="10.85546875" style="1" customWidth="1"/>
    <col min="5" max="5" width="19.42578125" style="1" bestFit="1" customWidth="1"/>
    <col min="6" max="6" width="34.85546875" style="1" customWidth="1"/>
    <col min="7" max="7" width="10.85546875" style="1" customWidth="1"/>
    <col min="8" max="8" width="13.42578125" style="1" customWidth="1"/>
    <col min="9" max="16384" width="11.42578125" style="1"/>
  </cols>
  <sheetData>
    <row r="1" spans="2:9" ht="15.75" thickBot="1"/>
    <row r="2" spans="2:9" ht="49.5" customHeight="1" thickTop="1" thickBot="1">
      <c r="B2" s="170" t="s">
        <v>803</v>
      </c>
      <c r="C2" s="171"/>
      <c r="D2" s="171"/>
      <c r="E2" s="171"/>
      <c r="F2" s="171"/>
      <c r="G2" s="171"/>
      <c r="H2" s="171"/>
      <c r="I2" s="172"/>
    </row>
    <row r="3" spans="2:9" ht="18" customHeight="1">
      <c r="B3" s="173" t="s">
        <v>0</v>
      </c>
      <c r="C3" s="174"/>
      <c r="D3" s="174"/>
      <c r="E3" s="174"/>
      <c r="F3" s="174"/>
      <c r="G3" s="174"/>
      <c r="H3" s="174"/>
      <c r="I3" s="175"/>
    </row>
    <row r="4" spans="2:9" ht="23.25" customHeight="1">
      <c r="B4" s="176" t="s">
        <v>804</v>
      </c>
      <c r="C4" s="178" t="s">
        <v>7</v>
      </c>
      <c r="D4" s="178" t="s">
        <v>805</v>
      </c>
      <c r="E4" s="178" t="s">
        <v>806</v>
      </c>
      <c r="F4" s="178" t="s">
        <v>3</v>
      </c>
      <c r="G4" s="178"/>
      <c r="H4" s="178"/>
      <c r="I4" s="180"/>
    </row>
    <row r="5" spans="2:9" ht="15.75" customHeight="1" thickBot="1">
      <c r="B5" s="177"/>
      <c r="C5" s="179"/>
      <c r="D5" s="179"/>
      <c r="E5" s="179"/>
      <c r="F5" s="179"/>
      <c r="G5" s="179"/>
      <c r="H5" s="179"/>
      <c r="I5" s="181"/>
    </row>
    <row r="6" spans="2:9">
      <c r="B6" s="6" t="s">
        <v>13</v>
      </c>
      <c r="C6" s="7" t="s">
        <v>41</v>
      </c>
      <c r="D6" s="7" t="s">
        <v>13</v>
      </c>
      <c r="E6" s="7" t="s">
        <v>17</v>
      </c>
      <c r="F6" s="7" t="s">
        <v>12</v>
      </c>
      <c r="G6" s="7"/>
      <c r="H6" s="7"/>
      <c r="I6" s="8"/>
    </row>
    <row r="7" spans="2:9">
      <c r="B7" s="9"/>
      <c r="C7" s="4" t="s">
        <v>24</v>
      </c>
      <c r="D7" s="4"/>
      <c r="E7" s="4" t="s">
        <v>27</v>
      </c>
      <c r="F7" s="4" t="s">
        <v>427</v>
      </c>
      <c r="G7" s="4"/>
      <c r="H7" s="4"/>
      <c r="I7" s="10"/>
    </row>
    <row r="8" spans="2:9">
      <c r="B8" s="9"/>
      <c r="C8" s="4" t="s">
        <v>29</v>
      </c>
      <c r="D8" s="4"/>
      <c r="E8" s="4" t="s">
        <v>502</v>
      </c>
      <c r="F8" s="4"/>
      <c r="G8" s="4"/>
      <c r="H8" s="4"/>
      <c r="I8" s="10"/>
    </row>
    <row r="9" spans="2:9">
      <c r="B9" s="9"/>
      <c r="C9" s="4" t="s">
        <v>807</v>
      </c>
      <c r="D9" s="4"/>
      <c r="E9" s="4" t="s">
        <v>30</v>
      </c>
      <c r="F9" s="4"/>
      <c r="G9" s="4"/>
      <c r="H9" s="4"/>
      <c r="I9" s="10"/>
    </row>
    <row r="10" spans="2:9">
      <c r="B10" s="9"/>
      <c r="C10" s="4" t="s">
        <v>385</v>
      </c>
      <c r="D10" s="4"/>
      <c r="E10" s="4" t="s">
        <v>925</v>
      </c>
      <c r="F10" s="4"/>
      <c r="G10" s="4"/>
      <c r="H10" s="4"/>
      <c r="I10" s="10"/>
    </row>
    <row r="11" spans="2:9">
      <c r="B11" s="9"/>
      <c r="C11" s="4" t="s">
        <v>16</v>
      </c>
      <c r="D11" s="4"/>
      <c r="E11" s="4"/>
      <c r="F11" s="4"/>
      <c r="G11" s="4"/>
      <c r="H11" s="4"/>
      <c r="I11" s="10"/>
    </row>
    <row r="12" spans="2:9">
      <c r="B12" s="9"/>
      <c r="C12" s="4"/>
      <c r="D12" s="4"/>
      <c r="E12" s="4"/>
      <c r="F12" s="4"/>
      <c r="G12" s="4"/>
      <c r="H12" s="4"/>
      <c r="I12" s="10"/>
    </row>
    <row r="13" spans="2:9">
      <c r="B13" s="9"/>
      <c r="C13" s="4"/>
      <c r="D13" s="4"/>
      <c r="E13" s="4"/>
      <c r="F13" s="4"/>
      <c r="G13" s="4"/>
      <c r="H13" s="4"/>
      <c r="I13" s="10"/>
    </row>
    <row r="14" spans="2:9">
      <c r="B14" s="9"/>
      <c r="C14" s="4"/>
      <c r="D14" s="4"/>
      <c r="E14" s="4"/>
      <c r="F14" s="4"/>
      <c r="G14" s="4"/>
      <c r="H14" s="4"/>
      <c r="I14" s="10"/>
    </row>
    <row r="15" spans="2:9">
      <c r="B15" s="9"/>
      <c r="C15" s="4"/>
      <c r="D15" s="4"/>
      <c r="E15" s="4"/>
      <c r="F15" s="4"/>
      <c r="G15" s="4"/>
      <c r="H15" s="4"/>
      <c r="I15" s="10"/>
    </row>
    <row r="16" spans="2:9">
      <c r="B16" s="9"/>
      <c r="C16" s="4"/>
      <c r="D16" s="4"/>
      <c r="E16" s="4"/>
      <c r="F16" s="4"/>
      <c r="G16" s="4"/>
      <c r="H16" s="4"/>
      <c r="I16" s="10"/>
    </row>
    <row r="17" spans="2:9">
      <c r="B17" s="9"/>
      <c r="C17" s="4"/>
      <c r="D17" s="4"/>
      <c r="E17" s="4"/>
      <c r="F17" s="4"/>
      <c r="G17" s="4"/>
      <c r="H17" s="4"/>
      <c r="I17" s="10"/>
    </row>
    <row r="18" spans="2:9">
      <c r="B18" s="9"/>
      <c r="C18" s="4"/>
      <c r="D18" s="4"/>
      <c r="E18" s="4"/>
      <c r="F18" s="4"/>
      <c r="G18" s="4"/>
      <c r="H18" s="4"/>
      <c r="I18" s="10"/>
    </row>
    <row r="19" spans="2:9">
      <c r="B19" s="9"/>
      <c r="C19" s="4"/>
      <c r="D19" s="4"/>
      <c r="E19" s="4"/>
      <c r="F19" s="4"/>
      <c r="G19" s="4"/>
      <c r="H19" s="4"/>
      <c r="I19" s="10"/>
    </row>
    <row r="20" spans="2:9" ht="15.75" thickBot="1">
      <c r="B20" s="2"/>
      <c r="C20" s="3"/>
      <c r="D20" s="3"/>
      <c r="E20" s="3"/>
      <c r="F20" s="3"/>
      <c r="G20" s="3"/>
      <c r="H20" s="3"/>
      <c r="I20" s="5"/>
    </row>
    <row r="21" spans="2:9" ht="15.75" thickTop="1"/>
  </sheetData>
  <mergeCells count="10">
    <mergeCell ref="B2:I2"/>
    <mergeCell ref="B3:I3"/>
    <mergeCell ref="B4:B5"/>
    <mergeCell ref="C4:C5"/>
    <mergeCell ref="D4:D5"/>
    <mergeCell ref="E4:E5"/>
    <mergeCell ref="F4:F5"/>
    <mergeCell ref="G4:G5"/>
    <mergeCell ref="H4:H5"/>
    <mergeCell ref="I4:I5"/>
  </mergeCells>
  <pageMargins left="0.7" right="0.7" top="0.75" bottom="0.75" header="0.3" footer="0.3"/>
  <pageSetup orientation="portrait" r:id="rId1"/>
  <headerFooter>
    <oddFooter>&amp;R_x000D_&amp;1#&amp;"Arial"&amp;10&amp;K000000 Confidential C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3C535C-9DDA-4D32-BA47-F63D5F6B20D5}">
  <sheetPr codeName="Hoja3"/>
  <dimension ref="A1"/>
  <sheetViews>
    <sheetView workbookViewId="0">
      <selection activeCell="E25" sqref="E25"/>
    </sheetView>
  </sheetViews>
  <sheetFormatPr baseColWidth="10" defaultColWidth="11.42578125" defaultRowHeight="15"/>
  <cols>
    <col min="1" max="16384" width="11.42578125" style="28"/>
  </cols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C8A5C3-9580-44E5-A42E-6C3584486F41}">
  <dimension ref="A1:G76"/>
  <sheetViews>
    <sheetView workbookViewId="0">
      <selection activeCell="B2" sqref="B2:B75"/>
    </sheetView>
  </sheetViews>
  <sheetFormatPr baseColWidth="10" defaultColWidth="11.5703125" defaultRowHeight="15"/>
  <cols>
    <col min="2" max="2" width="21.42578125" bestFit="1" customWidth="1"/>
    <col min="3" max="3" width="42.7109375" bestFit="1" customWidth="1"/>
    <col min="4" max="4" width="42.5703125" bestFit="1" customWidth="1"/>
    <col min="5" max="5" width="21.28515625" customWidth="1"/>
    <col min="6" max="6" width="13.5703125" customWidth="1"/>
    <col min="7" max="7" width="11" customWidth="1"/>
    <col min="8" max="8" width="16.42578125" customWidth="1"/>
  </cols>
  <sheetData>
    <row r="1" spans="1:7" ht="30">
      <c r="A1" s="128" t="s">
        <v>873</v>
      </c>
      <c r="B1" s="128" t="s">
        <v>874</v>
      </c>
      <c r="C1" s="128" t="s">
        <v>6</v>
      </c>
      <c r="D1" s="128" t="s">
        <v>3</v>
      </c>
      <c r="E1" s="129" t="s">
        <v>875</v>
      </c>
      <c r="F1" s="129" t="s">
        <v>916</v>
      </c>
      <c r="G1" t="s">
        <v>915</v>
      </c>
    </row>
    <row r="2" spans="1:7">
      <c r="A2" t="s">
        <v>663</v>
      </c>
      <c r="B2" t="s">
        <v>519</v>
      </c>
      <c r="C2" t="s">
        <v>520</v>
      </c>
      <c r="D2" t="s">
        <v>876</v>
      </c>
      <c r="E2" s="130" t="s">
        <v>877</v>
      </c>
      <c r="F2" s="135">
        <f>VLOOKUP(Tabla1[[#This Row],[Part Number]],tableau_gfe12!$P$2:$AA$401,12,FALSE)</f>
        <v>0.66</v>
      </c>
      <c r="G2">
        <f>VLOOKUP(Tabla1[[#This Row],[Part Number]],tableau_gfe12!$P$2:$AA$401,8,FALSE)</f>
        <v>3</v>
      </c>
    </row>
    <row r="3" spans="1:7">
      <c r="A3" t="s">
        <v>663</v>
      </c>
      <c r="B3" t="s">
        <v>587</v>
      </c>
      <c r="C3" t="s">
        <v>588</v>
      </c>
      <c r="D3" t="s">
        <v>878</v>
      </c>
      <c r="E3" s="130" t="s">
        <v>877</v>
      </c>
      <c r="F3" s="137">
        <f>VLOOKUP(Tabla1[[#This Row],[Part Number]],tableau_gfe12!$P$2:$AA$401,12,FALSE)</f>
        <v>0</v>
      </c>
      <c r="G3">
        <f>VLOOKUP(Tabla1[[#This Row],[Part Number]],tableau_gfe12!$P$2:$AA$401,8,FALSE)</f>
        <v>1</v>
      </c>
    </row>
    <row r="4" spans="1:7">
      <c r="A4" t="s">
        <v>663</v>
      </c>
      <c r="B4" t="s">
        <v>341</v>
      </c>
      <c r="C4" t="s">
        <v>342</v>
      </c>
      <c r="D4" t="s">
        <v>879</v>
      </c>
      <c r="E4" s="130" t="s">
        <v>877</v>
      </c>
      <c r="F4" s="135">
        <f>VLOOKUP(Tabla1[[#This Row],[Part Number]],tableau_gfe12!$P$2:$AA$401,12,FALSE)</f>
        <v>0.89600000000000002</v>
      </c>
      <c r="G4">
        <f>VLOOKUP(Tabla1[[#This Row],[Part Number]],tableau_gfe12!$P$2:$AA$401,8,FALSE)</f>
        <v>1</v>
      </c>
    </row>
    <row r="5" spans="1:7">
      <c r="A5" t="s">
        <v>663</v>
      </c>
      <c r="B5" t="s">
        <v>531</v>
      </c>
      <c r="C5" t="s">
        <v>532</v>
      </c>
      <c r="D5" t="s">
        <v>879</v>
      </c>
      <c r="E5" s="130" t="s">
        <v>877</v>
      </c>
      <c r="F5" s="135">
        <f>VLOOKUP(Tabla1[[#This Row],[Part Number]],tableau_gfe12!$P$2:$AA$401,12,FALSE)</f>
        <v>2.819</v>
      </c>
      <c r="G5">
        <f>VLOOKUP(Tabla1[[#This Row],[Part Number]],tableau_gfe12!$P$2:$AA$401,8,FALSE)</f>
        <v>1</v>
      </c>
    </row>
    <row r="6" spans="1:7">
      <c r="A6" t="s">
        <v>663</v>
      </c>
      <c r="B6" t="s">
        <v>259</v>
      </c>
      <c r="C6" t="s">
        <v>260</v>
      </c>
      <c r="D6" t="s">
        <v>880</v>
      </c>
      <c r="E6" s="130" t="s">
        <v>877</v>
      </c>
      <c r="F6" s="137">
        <f>VLOOKUP(Tabla1[[#This Row],[Part Number]],tableau_gfe12!$P$2:$AA$401,12,FALSE)</f>
        <v>0</v>
      </c>
      <c r="G6">
        <f>VLOOKUP(Tabla1[[#This Row],[Part Number]],tableau_gfe12!$P$2:$AA$401,8,FALSE)</f>
        <v>1</v>
      </c>
    </row>
    <row r="7" spans="1:7">
      <c r="A7" t="s">
        <v>663</v>
      </c>
      <c r="B7" t="s">
        <v>412</v>
      </c>
      <c r="C7" t="s">
        <v>413</v>
      </c>
      <c r="D7" t="s">
        <v>881</v>
      </c>
      <c r="E7" s="130" t="s">
        <v>877</v>
      </c>
      <c r="F7" s="137">
        <f>VLOOKUP(Tabla1[[#This Row],[Part Number]],tableau_gfe12!$P$2:$AA$401,12,FALSE)</f>
        <v>0</v>
      </c>
      <c r="G7">
        <f>VLOOKUP(Tabla1[[#This Row],[Part Number]],tableau_gfe12!$P$2:$AA$401,8,FALSE)</f>
        <v>1</v>
      </c>
    </row>
    <row r="8" spans="1:7">
      <c r="A8" t="s">
        <v>663</v>
      </c>
      <c r="B8" t="s">
        <v>151</v>
      </c>
      <c r="C8" t="s">
        <v>126</v>
      </c>
      <c r="D8" t="s">
        <v>881</v>
      </c>
      <c r="E8" s="130" t="s">
        <v>877</v>
      </c>
      <c r="F8" s="137">
        <f>VLOOKUP(Tabla1[[#This Row],[Part Number]],tableau_gfe12!$P$2:$AA$401,12,FALSE)</f>
        <v>0</v>
      </c>
      <c r="G8">
        <f>VLOOKUP(Tabla1[[#This Row],[Part Number]],tableau_gfe12!$P$2:$AA$401,8,FALSE)</f>
        <v>1</v>
      </c>
    </row>
    <row r="9" spans="1:7">
      <c r="A9" t="s">
        <v>663</v>
      </c>
      <c r="B9" t="s">
        <v>165</v>
      </c>
      <c r="C9" t="s">
        <v>166</v>
      </c>
      <c r="D9" t="s">
        <v>881</v>
      </c>
      <c r="E9" s="130" t="s">
        <v>877</v>
      </c>
      <c r="F9" s="135">
        <f>VLOOKUP(Tabla1[[#This Row],[Part Number]],tableau_gfe12!$P$2:$AA$401,12,FALSE)</f>
        <v>5.8999999999999997E-2</v>
      </c>
      <c r="G9">
        <f>VLOOKUP(Tabla1[[#This Row],[Part Number]],tableau_gfe12!$P$2:$AA$401,8,FALSE)</f>
        <v>1</v>
      </c>
    </row>
    <row r="10" spans="1:7">
      <c r="A10" t="s">
        <v>663</v>
      </c>
      <c r="B10" t="s">
        <v>167</v>
      </c>
      <c r="C10" t="s">
        <v>166</v>
      </c>
      <c r="D10" t="s">
        <v>881</v>
      </c>
      <c r="E10" s="130" t="s">
        <v>877</v>
      </c>
      <c r="F10" s="135">
        <f>VLOOKUP(Tabla1[[#This Row],[Part Number]],tableau_gfe12!$P$2:$AA$401,12,FALSE)</f>
        <v>0.04</v>
      </c>
      <c r="G10">
        <f>VLOOKUP(Tabla1[[#This Row],[Part Number]],tableau_gfe12!$P$2:$AA$401,8,FALSE)</f>
        <v>1</v>
      </c>
    </row>
    <row r="11" spans="1:7">
      <c r="A11" t="s">
        <v>663</v>
      </c>
      <c r="B11" t="s">
        <v>398</v>
      </c>
      <c r="C11" t="s">
        <v>399</v>
      </c>
      <c r="D11" t="s">
        <v>881</v>
      </c>
      <c r="E11" s="130" t="s">
        <v>877</v>
      </c>
      <c r="F11" s="137">
        <f>VLOOKUP(Tabla1[[#This Row],[Part Number]],tableau_gfe12!$P$2:$AA$401,12,FALSE)</f>
        <v>0</v>
      </c>
      <c r="G11">
        <f>VLOOKUP(Tabla1[[#This Row],[Part Number]],tableau_gfe12!$P$2:$AA$401,8,FALSE)</f>
        <v>1</v>
      </c>
    </row>
    <row r="12" spans="1:7">
      <c r="A12" t="s">
        <v>663</v>
      </c>
      <c r="B12" t="s">
        <v>168</v>
      </c>
      <c r="C12" t="s">
        <v>169</v>
      </c>
      <c r="D12" t="s">
        <v>881</v>
      </c>
      <c r="E12" s="130" t="s">
        <v>877</v>
      </c>
      <c r="F12" s="135">
        <f>VLOOKUP(Tabla1[[#This Row],[Part Number]],tableau_gfe12!$P$2:$AA$401,12,FALSE)</f>
        <v>0.14000000000000001</v>
      </c>
      <c r="G12">
        <f>VLOOKUP(Tabla1[[#This Row],[Part Number]],tableau_gfe12!$P$2:$AA$401,8,FALSE)</f>
        <v>1</v>
      </c>
    </row>
    <row r="13" spans="1:7">
      <c r="A13" t="s">
        <v>663</v>
      </c>
      <c r="B13" t="s">
        <v>219</v>
      </c>
      <c r="C13" t="s">
        <v>220</v>
      </c>
      <c r="D13" t="s">
        <v>881</v>
      </c>
      <c r="E13" s="130" t="s">
        <v>877</v>
      </c>
      <c r="F13" s="135">
        <f>VLOOKUP(Tabla1[[#This Row],[Part Number]],tableau_gfe12!$P$2:$AA$401,12,FALSE)</f>
        <v>0.14000000000000001</v>
      </c>
      <c r="G13">
        <f>VLOOKUP(Tabla1[[#This Row],[Part Number]],tableau_gfe12!$P$2:$AA$401,8,FALSE)</f>
        <v>1</v>
      </c>
    </row>
    <row r="14" spans="1:7">
      <c r="A14" t="s">
        <v>663</v>
      </c>
      <c r="B14" t="s">
        <v>517</v>
      </c>
      <c r="C14" t="s">
        <v>518</v>
      </c>
      <c r="D14" t="s">
        <v>882</v>
      </c>
      <c r="E14" s="130" t="s">
        <v>877</v>
      </c>
      <c r="F14" s="135">
        <f>VLOOKUP(Tabla1[[#This Row],[Part Number]],tableau_gfe12!$P$2:$AA$401,12,FALSE)</f>
        <v>0.46</v>
      </c>
      <c r="G14">
        <f>VLOOKUP(Tabla1[[#This Row],[Part Number]],tableau_gfe12!$P$2:$AA$401,8,FALSE)</f>
        <v>1</v>
      </c>
    </row>
    <row r="15" spans="1:7">
      <c r="A15" t="s">
        <v>663</v>
      </c>
      <c r="B15" t="s">
        <v>514</v>
      </c>
      <c r="C15" t="s">
        <v>512</v>
      </c>
      <c r="D15" t="s">
        <v>882</v>
      </c>
      <c r="E15" s="130" t="s">
        <v>877</v>
      </c>
      <c r="F15" s="135">
        <f>VLOOKUP(Tabla1[[#This Row],[Part Number]],tableau_gfe12!$P$2:$AA$401,12,FALSE)</f>
        <v>0.34</v>
      </c>
      <c r="G15">
        <f>VLOOKUP(Tabla1[[#This Row],[Part Number]],tableau_gfe12!$P$2:$AA$401,8,FALSE)</f>
        <v>1</v>
      </c>
    </row>
    <row r="16" spans="1:7">
      <c r="A16" t="s">
        <v>663</v>
      </c>
      <c r="B16" t="s">
        <v>511</v>
      </c>
      <c r="C16" t="s">
        <v>512</v>
      </c>
      <c r="D16" t="s">
        <v>882</v>
      </c>
      <c r="E16" s="130" t="s">
        <v>877</v>
      </c>
      <c r="F16" s="135">
        <f>VLOOKUP(Tabla1[[#This Row],[Part Number]],tableau_gfe12!$P$2:$AA$401,12,FALSE)</f>
        <v>0.32</v>
      </c>
      <c r="G16">
        <f>VLOOKUP(Tabla1[[#This Row],[Part Number]],tableau_gfe12!$P$2:$AA$401,8,FALSE)</f>
        <v>1</v>
      </c>
    </row>
    <row r="17" spans="1:7">
      <c r="A17" t="s">
        <v>663</v>
      </c>
      <c r="B17" t="s">
        <v>223</v>
      </c>
      <c r="C17" t="s">
        <v>224</v>
      </c>
      <c r="D17" t="s">
        <v>883</v>
      </c>
      <c r="E17" s="130" t="s">
        <v>877</v>
      </c>
      <c r="F17" s="137">
        <f>VLOOKUP(Tabla1[[#This Row],[Part Number]],tableau_gfe12!$P$2:$AA$401,12,FALSE)</f>
        <v>0</v>
      </c>
      <c r="G17">
        <f>VLOOKUP(Tabla1[[#This Row],[Part Number]],tableau_gfe12!$P$2:$AA$401,8,FALSE)</f>
        <v>1</v>
      </c>
    </row>
    <row r="18" spans="1:7">
      <c r="A18" t="s">
        <v>663</v>
      </c>
      <c r="B18" t="s">
        <v>175</v>
      </c>
      <c r="C18" t="s">
        <v>176</v>
      </c>
      <c r="D18" t="s">
        <v>884</v>
      </c>
      <c r="E18" s="130" t="s">
        <v>877</v>
      </c>
      <c r="F18" s="137">
        <f>VLOOKUP(Tabla1[[#This Row],[Part Number]],tableau_gfe12!$P$2:$AA$401,12,FALSE)</f>
        <v>0</v>
      </c>
      <c r="G18">
        <f>VLOOKUP(Tabla1[[#This Row],[Part Number]],tableau_gfe12!$P$2:$AA$401,8,FALSE)</f>
        <v>1</v>
      </c>
    </row>
    <row r="19" spans="1:7">
      <c r="A19" t="s">
        <v>663</v>
      </c>
      <c r="B19" t="s">
        <v>192</v>
      </c>
      <c r="C19" t="s">
        <v>193</v>
      </c>
      <c r="D19" t="s">
        <v>883</v>
      </c>
      <c r="E19" s="130" t="s">
        <v>877</v>
      </c>
      <c r="F19" s="135">
        <f>VLOOKUP(Tabla1[[#This Row],[Part Number]],tableau_gfe12!$P$2:$AA$401,12,FALSE)</f>
        <v>9.0999999999999998E-2</v>
      </c>
      <c r="G19">
        <f>VLOOKUP(Tabla1[[#This Row],[Part Number]],tableau_gfe12!$P$2:$AA$401,8,FALSE)</f>
        <v>1</v>
      </c>
    </row>
    <row r="20" spans="1:7">
      <c r="A20" t="s">
        <v>663</v>
      </c>
      <c r="B20" t="s">
        <v>234</v>
      </c>
      <c r="C20" t="s">
        <v>235</v>
      </c>
      <c r="D20" t="s">
        <v>883</v>
      </c>
      <c r="E20" s="130" t="s">
        <v>877</v>
      </c>
      <c r="F20" s="135">
        <f>VLOOKUP(Tabla1[[#This Row],[Part Number]],tableau_gfe12!$P$2:$AA$401,12,FALSE)</f>
        <v>9.2999999999999999E-2</v>
      </c>
      <c r="G20">
        <f>VLOOKUP(Tabla1[[#This Row],[Part Number]],tableau_gfe12!$P$2:$AA$401,8,FALSE)</f>
        <v>1</v>
      </c>
    </row>
    <row r="21" spans="1:7">
      <c r="A21" t="s">
        <v>663</v>
      </c>
      <c r="B21" t="s">
        <v>338</v>
      </c>
      <c r="C21" t="s">
        <v>339</v>
      </c>
      <c r="D21" t="s">
        <v>885</v>
      </c>
      <c r="E21" s="130" t="s">
        <v>877</v>
      </c>
      <c r="F21" s="135">
        <f>VLOOKUP(Tabla1[[#This Row],[Part Number]],tableau_gfe12!$P$2:$AA$401,12,FALSE)</f>
        <v>0.3</v>
      </c>
      <c r="G21">
        <f>VLOOKUP(Tabla1[[#This Row],[Part Number]],tableau_gfe12!$P$2:$AA$401,8,FALSE)</f>
        <v>1</v>
      </c>
    </row>
    <row r="22" spans="1:7">
      <c r="A22" t="s">
        <v>663</v>
      </c>
      <c r="B22" t="s">
        <v>423</v>
      </c>
      <c r="C22" t="s">
        <v>424</v>
      </c>
      <c r="D22" t="s">
        <v>886</v>
      </c>
      <c r="E22" s="130" t="s">
        <v>877</v>
      </c>
      <c r="F22" s="137">
        <f>VLOOKUP(Tabla1[[#This Row],[Part Number]],tableau_gfe12!$P$2:$AA$401,12,FALSE)</f>
        <v>0</v>
      </c>
      <c r="G22">
        <f>VLOOKUP(Tabla1[[#This Row],[Part Number]],tableau_gfe12!$P$2:$AA$401,8,FALSE)</f>
        <v>1</v>
      </c>
    </row>
    <row r="23" spans="1:7">
      <c r="A23" t="s">
        <v>663</v>
      </c>
      <c r="B23" t="s">
        <v>420</v>
      </c>
      <c r="C23" t="s">
        <v>421</v>
      </c>
      <c r="D23" t="s">
        <v>886</v>
      </c>
      <c r="E23" s="130" t="s">
        <v>877</v>
      </c>
      <c r="F23" s="137">
        <f>VLOOKUP(Tabla1[[#This Row],[Part Number]],tableau_gfe12!$P$2:$AA$401,12,FALSE)</f>
        <v>0</v>
      </c>
      <c r="G23">
        <f>VLOOKUP(Tabla1[[#This Row],[Part Number]],tableau_gfe12!$P$2:$AA$401,8,FALSE)</f>
        <v>1</v>
      </c>
    </row>
    <row r="24" spans="1:7">
      <c r="A24" t="s">
        <v>663</v>
      </c>
      <c r="B24" t="s">
        <v>190</v>
      </c>
      <c r="C24" t="s">
        <v>191</v>
      </c>
      <c r="D24" t="s">
        <v>883</v>
      </c>
      <c r="E24" s="130" t="s">
        <v>877</v>
      </c>
      <c r="F24" s="135">
        <f>VLOOKUP(Tabla1[[#This Row],[Part Number]],tableau_gfe12!$P$2:$AA$401,12,FALSE)</f>
        <v>0.54600000000000004</v>
      </c>
      <c r="G24">
        <f>VLOOKUP(Tabla1[[#This Row],[Part Number]],tableau_gfe12!$P$2:$AA$401,8,FALSE)</f>
        <v>1</v>
      </c>
    </row>
    <row r="25" spans="1:7">
      <c r="A25" t="s">
        <v>663</v>
      </c>
      <c r="B25" t="s">
        <v>564</v>
      </c>
      <c r="C25" t="s">
        <v>565</v>
      </c>
      <c r="D25" t="s">
        <v>887</v>
      </c>
      <c r="E25" s="130" t="s">
        <v>877</v>
      </c>
      <c r="F25" s="135">
        <f>VLOOKUP(Tabla1[[#This Row],[Part Number]],tableau_gfe12!$P$2:$AA$401,12,FALSE)</f>
        <v>0.6</v>
      </c>
      <c r="G25">
        <f>VLOOKUP(Tabla1[[#This Row],[Part Number]],tableau_gfe12!$P$2:$AA$401,8,FALSE)</f>
        <v>1</v>
      </c>
    </row>
    <row r="26" spans="1:7">
      <c r="A26" t="s">
        <v>663</v>
      </c>
      <c r="B26" t="s">
        <v>393</v>
      </c>
      <c r="C26" t="s">
        <v>394</v>
      </c>
      <c r="D26" t="s">
        <v>888</v>
      </c>
      <c r="E26" s="130" t="s">
        <v>877</v>
      </c>
      <c r="F26" s="135">
        <f>VLOOKUP(Tabla1[[#This Row],[Part Number]],tableau_gfe12!$P$2:$AA$401,12,FALSE)</f>
        <v>0.45</v>
      </c>
      <c r="G26">
        <f>VLOOKUP(Tabla1[[#This Row],[Part Number]],tableau_gfe12!$P$2:$AA$401,8,FALSE)</f>
        <v>1</v>
      </c>
    </row>
    <row r="27" spans="1:7">
      <c r="A27" t="s">
        <v>663</v>
      </c>
      <c r="B27" t="s">
        <v>232</v>
      </c>
      <c r="C27" t="s">
        <v>233</v>
      </c>
      <c r="D27" t="s">
        <v>883</v>
      </c>
      <c r="E27" s="130" t="s">
        <v>877</v>
      </c>
      <c r="F27" s="135">
        <f>VLOOKUP(Tabla1[[#This Row],[Part Number]],tableau_gfe12!$P$2:$AA$401,12,FALSE)</f>
        <v>0.54600000000000004</v>
      </c>
      <c r="G27">
        <f>VLOOKUP(Tabla1[[#This Row],[Part Number]],tableau_gfe12!$P$2:$AA$401,8,FALSE)</f>
        <v>1</v>
      </c>
    </row>
    <row r="28" spans="1:7">
      <c r="A28" t="s">
        <v>663</v>
      </c>
      <c r="B28" t="s">
        <v>210</v>
      </c>
      <c r="C28" t="s">
        <v>211</v>
      </c>
      <c r="D28" t="s">
        <v>888</v>
      </c>
      <c r="E28" s="130" t="s">
        <v>877</v>
      </c>
      <c r="F28" s="135">
        <f>VLOOKUP(Tabla1[[#This Row],[Part Number]],tableau_gfe12!$P$2:$AA$401,12,FALSE)</f>
        <v>0</v>
      </c>
      <c r="G28">
        <f>VLOOKUP(Tabla1[[#This Row],[Part Number]],tableau_gfe12!$P$2:$AA$401,8,FALSE)</f>
        <v>1</v>
      </c>
    </row>
    <row r="29" spans="1:7">
      <c r="A29" t="s">
        <v>663</v>
      </c>
      <c r="B29" t="s">
        <v>606</v>
      </c>
      <c r="C29" t="s">
        <v>607</v>
      </c>
      <c r="D29" t="s">
        <v>889</v>
      </c>
      <c r="E29" s="130" t="s">
        <v>877</v>
      </c>
      <c r="F29" s="135">
        <f>VLOOKUP(Tabla1[[#This Row],[Part Number]],tableau_gfe12!$P$2:$AA$401,12,FALSE)</f>
        <v>0</v>
      </c>
      <c r="G29">
        <f>VLOOKUP(Tabla1[[#This Row],[Part Number]],tableau_gfe12!$P$2:$AA$401,8,FALSE)</f>
        <v>1</v>
      </c>
    </row>
    <row r="30" spans="1:7">
      <c r="A30" t="s">
        <v>663</v>
      </c>
      <c r="B30" t="s">
        <v>610</v>
      </c>
      <c r="C30" t="s">
        <v>611</v>
      </c>
      <c r="D30" t="s">
        <v>889</v>
      </c>
      <c r="E30" s="130" t="s">
        <v>877</v>
      </c>
      <c r="F30" s="137">
        <f>VLOOKUP(Tabla1[[#This Row],[Part Number]],tableau_gfe12!$P$2:$AA$401,12,FALSE)</f>
        <v>0</v>
      </c>
      <c r="G30">
        <f>VLOOKUP(Tabla1[[#This Row],[Part Number]],tableau_gfe12!$P$2:$AA$401,8,FALSE)</f>
        <v>1</v>
      </c>
    </row>
    <row r="31" spans="1:7">
      <c r="A31" t="s">
        <v>663</v>
      </c>
      <c r="B31" t="s">
        <v>376</v>
      </c>
      <c r="C31" t="s">
        <v>377</v>
      </c>
      <c r="D31" t="s">
        <v>890</v>
      </c>
      <c r="E31" s="130" t="s">
        <v>877</v>
      </c>
      <c r="F31" s="137">
        <f>VLOOKUP(Tabla1[[#This Row],[Part Number]],tableau_gfe12!$P$2:$AA$401,12,FALSE)</f>
        <v>0</v>
      </c>
      <c r="G31">
        <f>VLOOKUP(Tabla1[[#This Row],[Part Number]],tableau_gfe12!$P$2:$AA$401,8,FALSE)</f>
        <v>1</v>
      </c>
    </row>
    <row r="32" spans="1:7">
      <c r="A32" t="s">
        <v>663</v>
      </c>
      <c r="B32" t="s">
        <v>306</v>
      </c>
      <c r="C32" t="s">
        <v>307</v>
      </c>
      <c r="D32" t="s">
        <v>890</v>
      </c>
      <c r="E32" s="130" t="s">
        <v>877</v>
      </c>
      <c r="F32" s="137">
        <f>VLOOKUP(Tabla1[[#This Row],[Part Number]],tableau_gfe12!$P$2:$AA$401,12,FALSE)</f>
        <v>0</v>
      </c>
      <c r="G32">
        <f>VLOOKUP(Tabla1[[#This Row],[Part Number]],tableau_gfe12!$P$2:$AA$401,8,FALSE)</f>
        <v>1</v>
      </c>
    </row>
    <row r="33" spans="1:7">
      <c r="A33" t="s">
        <v>663</v>
      </c>
      <c r="B33" t="s">
        <v>71</v>
      </c>
      <c r="C33" t="s">
        <v>72</v>
      </c>
      <c r="D33" t="s">
        <v>891</v>
      </c>
      <c r="E33" s="130" t="s">
        <v>877</v>
      </c>
      <c r="F33" s="137">
        <f>VLOOKUP(Tabla1[[#This Row],[Part Number]],tableau_gfe12!$P$2:$AA$401,12,FALSE)</f>
        <v>0</v>
      </c>
      <c r="G33">
        <f>VLOOKUP(Tabla1[[#This Row],[Part Number]],tableau_gfe12!$P$2:$AA$401,8,FALSE)</f>
        <v>1</v>
      </c>
    </row>
    <row r="34" spans="1:7">
      <c r="A34" t="s">
        <v>663</v>
      </c>
      <c r="B34" t="s">
        <v>84</v>
      </c>
      <c r="C34" t="s">
        <v>85</v>
      </c>
      <c r="D34" t="s">
        <v>891</v>
      </c>
      <c r="E34" s="130" t="s">
        <v>877</v>
      </c>
      <c r="F34" s="137">
        <f>VLOOKUP(Tabla1[[#This Row],[Part Number]],tableau_gfe12!$P$2:$AA$401,12,FALSE)</f>
        <v>0</v>
      </c>
      <c r="G34">
        <f>VLOOKUP(Tabla1[[#This Row],[Part Number]],tableau_gfe12!$P$2:$AA$401,8,FALSE)</f>
        <v>1</v>
      </c>
    </row>
    <row r="35" spans="1:7">
      <c r="A35" t="s">
        <v>663</v>
      </c>
      <c r="B35" t="s">
        <v>66</v>
      </c>
      <c r="C35" t="s">
        <v>67</v>
      </c>
      <c r="D35" t="s">
        <v>892</v>
      </c>
      <c r="E35" s="130" t="s">
        <v>877</v>
      </c>
      <c r="F35" s="135">
        <f>VLOOKUP(Tabla1[[#This Row],[Part Number]],tableau_gfe12!$P$2:$AA$401,12,FALSE)</f>
        <v>7.4999999999999997E-2</v>
      </c>
      <c r="G35">
        <f>VLOOKUP(Tabla1[[#This Row],[Part Number]],tableau_gfe12!$P$2:$AA$401,8,FALSE)</f>
        <v>1</v>
      </c>
    </row>
    <row r="36" spans="1:7">
      <c r="A36" t="s">
        <v>663</v>
      </c>
      <c r="B36" t="s">
        <v>69</v>
      </c>
      <c r="C36" t="s">
        <v>70</v>
      </c>
      <c r="D36" t="s">
        <v>892</v>
      </c>
      <c r="E36" s="130" t="s">
        <v>877</v>
      </c>
      <c r="F36" s="135">
        <f>VLOOKUP(Tabla1[[#This Row],[Part Number]],tableau_gfe12!$P$2:$AA$401,12,FALSE)</f>
        <v>7.4999999999999997E-2</v>
      </c>
      <c r="G36">
        <f>VLOOKUP(Tabla1[[#This Row],[Part Number]],tableau_gfe12!$P$2:$AA$401,8,FALSE)</f>
        <v>1</v>
      </c>
    </row>
    <row r="37" spans="1:7">
      <c r="A37" t="s">
        <v>663</v>
      </c>
      <c r="B37" t="s">
        <v>58</v>
      </c>
      <c r="C37" t="s">
        <v>59</v>
      </c>
      <c r="D37" t="s">
        <v>891</v>
      </c>
      <c r="E37" s="130" t="s">
        <v>877</v>
      </c>
      <c r="F37" s="135">
        <f>VLOOKUP(Tabla1[[#This Row],[Part Number]],tableau_gfe12!$P$2:$AA$401,12,FALSE)</f>
        <v>0.05</v>
      </c>
      <c r="G37">
        <f>VLOOKUP(Tabla1[[#This Row],[Part Number]],tableau_gfe12!$P$2:$AA$401,8,FALSE)</f>
        <v>1</v>
      </c>
    </row>
    <row r="38" spans="1:7">
      <c r="A38" t="s">
        <v>663</v>
      </c>
      <c r="B38" t="s">
        <v>63</v>
      </c>
      <c r="C38" t="s">
        <v>59</v>
      </c>
      <c r="D38" t="s">
        <v>891</v>
      </c>
      <c r="E38" s="130" t="s">
        <v>877</v>
      </c>
      <c r="F38" s="135">
        <f>VLOOKUP(Tabla1[[#This Row],[Part Number]],tableau_gfe12!$P$2:$AA$401,12,FALSE)</f>
        <v>7.0000000000000007E-2</v>
      </c>
      <c r="G38">
        <f>VLOOKUP(Tabla1[[#This Row],[Part Number]],tableau_gfe12!$P$2:$AA$401,8,FALSE)</f>
        <v>1</v>
      </c>
    </row>
    <row r="39" spans="1:7">
      <c r="A39" t="s">
        <v>663</v>
      </c>
      <c r="B39" t="s">
        <v>62</v>
      </c>
      <c r="C39" t="s">
        <v>59</v>
      </c>
      <c r="D39" t="s">
        <v>891</v>
      </c>
      <c r="E39" s="130" t="s">
        <v>877</v>
      </c>
      <c r="F39" s="135">
        <f>VLOOKUP(Tabla1[[#This Row],[Part Number]],tableau_gfe12!$P$2:$AA$401,12,FALSE)</f>
        <v>0.05</v>
      </c>
      <c r="G39">
        <f>VLOOKUP(Tabla1[[#This Row],[Part Number]],tableau_gfe12!$P$2:$AA$401,8,FALSE)</f>
        <v>1</v>
      </c>
    </row>
    <row r="40" spans="1:7">
      <c r="A40" t="s">
        <v>663</v>
      </c>
      <c r="B40" t="s">
        <v>352</v>
      </c>
      <c r="C40" t="s">
        <v>353</v>
      </c>
      <c r="D40" t="s">
        <v>890</v>
      </c>
      <c r="E40" s="130" t="s">
        <v>877</v>
      </c>
      <c r="F40" s="137">
        <f>VLOOKUP(Tabla1[[#This Row],[Part Number]],tableau_gfe12!$P$2:$AA$401,12,FALSE)</f>
        <v>0</v>
      </c>
      <c r="G40">
        <f>VLOOKUP(Tabla1[[#This Row],[Part Number]],tableau_gfe12!$P$2:$AA$401,8,FALSE)</f>
        <v>1</v>
      </c>
    </row>
    <row r="41" spans="1:7">
      <c r="A41" t="s">
        <v>663</v>
      </c>
      <c r="B41" t="s">
        <v>183</v>
      </c>
      <c r="C41" t="s">
        <v>184</v>
      </c>
      <c r="D41" t="s">
        <v>893</v>
      </c>
      <c r="E41" s="130" t="s">
        <v>877</v>
      </c>
      <c r="F41" s="135">
        <f>VLOOKUP(Tabla1[[#This Row],[Part Number]],tableau_gfe12!$P$2:$AA$401,12,FALSE)</f>
        <v>0.247</v>
      </c>
      <c r="G41">
        <f>VLOOKUP(Tabla1[[#This Row],[Part Number]],tableau_gfe12!$P$2:$AA$401,8,FALSE)</f>
        <v>1</v>
      </c>
    </row>
    <row r="42" spans="1:7">
      <c r="A42" t="s">
        <v>663</v>
      </c>
      <c r="B42" t="s">
        <v>142</v>
      </c>
      <c r="C42" t="s">
        <v>143</v>
      </c>
      <c r="D42" t="s">
        <v>894</v>
      </c>
      <c r="E42" s="130" t="s">
        <v>877</v>
      </c>
      <c r="F42" s="137">
        <f>VLOOKUP(Tabla1[[#This Row],[Part Number]],tableau_gfe12!$P$2:$AA$401,12,FALSE)</f>
        <v>0</v>
      </c>
      <c r="G42">
        <f>VLOOKUP(Tabla1[[#This Row],[Part Number]],tableau_gfe12!$P$2:$AA$401,8,FALSE)</f>
        <v>1</v>
      </c>
    </row>
    <row r="43" spans="1:7">
      <c r="A43" t="s">
        <v>663</v>
      </c>
      <c r="B43" t="s">
        <v>147</v>
      </c>
      <c r="C43" t="s">
        <v>148</v>
      </c>
      <c r="D43" t="s">
        <v>894</v>
      </c>
      <c r="E43" s="130" t="s">
        <v>877</v>
      </c>
      <c r="F43" s="137">
        <f>VLOOKUP(Tabla1[[#This Row],[Part Number]],tableau_gfe12!$P$2:$AA$401,12,FALSE)</f>
        <v>0</v>
      </c>
      <c r="G43">
        <f>VLOOKUP(Tabla1[[#This Row],[Part Number]],tableau_gfe12!$P$2:$AA$401,8,FALSE)</f>
        <v>1</v>
      </c>
    </row>
    <row r="44" spans="1:7">
      <c r="A44" t="s">
        <v>663</v>
      </c>
      <c r="B44" t="s">
        <v>356</v>
      </c>
      <c r="C44" t="s">
        <v>357</v>
      </c>
      <c r="D44" t="s">
        <v>895</v>
      </c>
      <c r="E44" s="130" t="s">
        <v>877</v>
      </c>
      <c r="F44" s="137">
        <f>VLOOKUP(Tabla1[[#This Row],[Part Number]],tableau_gfe12!$P$2:$AA$401,12,FALSE)</f>
        <v>0</v>
      </c>
      <c r="G44">
        <f>VLOOKUP(Tabla1[[#This Row],[Part Number]],tableau_gfe12!$P$2:$AA$401,8,FALSE)</f>
        <v>1</v>
      </c>
    </row>
    <row r="45" spans="1:7">
      <c r="A45" t="s">
        <v>663</v>
      </c>
      <c r="B45" t="s">
        <v>240</v>
      </c>
      <c r="C45" t="s">
        <v>241</v>
      </c>
      <c r="D45" t="s">
        <v>895</v>
      </c>
      <c r="E45" s="130" t="s">
        <v>877</v>
      </c>
      <c r="F45" s="137">
        <f>VLOOKUP(Tabla1[[#This Row],[Part Number]],tableau_gfe12!$P$2:$AA$401,12,FALSE)</f>
        <v>0</v>
      </c>
      <c r="G45">
        <f>VLOOKUP(Tabla1[[#This Row],[Part Number]],tableau_gfe12!$P$2:$AA$401,8,FALSE)</f>
        <v>1</v>
      </c>
    </row>
    <row r="46" spans="1:7">
      <c r="A46" t="s">
        <v>663</v>
      </c>
      <c r="B46" t="s">
        <v>270</v>
      </c>
      <c r="C46" t="s">
        <v>271</v>
      </c>
      <c r="D46" t="s">
        <v>896</v>
      </c>
      <c r="E46" s="130" t="s">
        <v>877</v>
      </c>
      <c r="F46" s="135">
        <f>VLOOKUP(Tabla1[[#This Row],[Part Number]],tableau_gfe12!$P$2:$AA$401,12,FALSE)</f>
        <v>2.5499999999999998</v>
      </c>
      <c r="G46">
        <f>VLOOKUP(Tabla1[[#This Row],[Part Number]],tableau_gfe12!$P$2:$AA$401,8,FALSE)</f>
        <v>1</v>
      </c>
    </row>
    <row r="47" spans="1:7">
      <c r="A47" t="s">
        <v>663</v>
      </c>
      <c r="B47" t="s">
        <v>273</v>
      </c>
      <c r="C47" t="s">
        <v>274</v>
      </c>
      <c r="D47" t="s">
        <v>878</v>
      </c>
      <c r="E47" s="130" t="s">
        <v>877</v>
      </c>
      <c r="F47" s="137">
        <f>VLOOKUP(Tabla1[[#This Row],[Part Number]],tableau_gfe12!$P$2:$AA$401,12,FALSE)</f>
        <v>0</v>
      </c>
      <c r="G47">
        <f>VLOOKUP(Tabla1[[#This Row],[Part Number]],tableau_gfe12!$P$2:$AA$401,8,FALSE)</f>
        <v>1</v>
      </c>
    </row>
    <row r="48" spans="1:7">
      <c r="A48" t="s">
        <v>663</v>
      </c>
      <c r="B48" t="s">
        <v>283</v>
      </c>
      <c r="C48" t="s">
        <v>284</v>
      </c>
      <c r="D48" t="s">
        <v>895</v>
      </c>
      <c r="E48" s="130" t="s">
        <v>877</v>
      </c>
      <c r="F48" s="137">
        <f>VLOOKUP(Tabla1[[#This Row],[Part Number]],tableau_gfe12!$P$2:$AA$401,12,FALSE)</f>
        <v>0</v>
      </c>
      <c r="G48">
        <f>VLOOKUP(Tabla1[[#This Row],[Part Number]],tableau_gfe12!$P$2:$AA$401,8,FALSE)</f>
        <v>1</v>
      </c>
    </row>
    <row r="49" spans="1:7">
      <c r="A49" t="s">
        <v>663</v>
      </c>
      <c r="B49" t="s">
        <v>336</v>
      </c>
      <c r="C49" t="s">
        <v>337</v>
      </c>
      <c r="D49" t="s">
        <v>896</v>
      </c>
      <c r="E49" s="130" t="s">
        <v>877</v>
      </c>
      <c r="F49" s="135">
        <f>VLOOKUP(Tabla1[[#This Row],[Part Number]],tableau_gfe12!$P$2:$AA$401,12,FALSE)</f>
        <v>2.56</v>
      </c>
      <c r="G49">
        <f>VLOOKUP(Tabla1[[#This Row],[Part Number]],tableau_gfe12!$P$2:$AA$401,8,FALSE)</f>
        <v>1</v>
      </c>
    </row>
    <row r="50" spans="1:7">
      <c r="A50" t="s">
        <v>663</v>
      </c>
      <c r="B50" t="s">
        <v>343</v>
      </c>
      <c r="C50" t="s">
        <v>344</v>
      </c>
      <c r="D50" t="s">
        <v>878</v>
      </c>
      <c r="E50" s="130" t="s">
        <v>877</v>
      </c>
      <c r="F50" s="135">
        <f>VLOOKUP(Tabla1[[#This Row],[Part Number]],tableau_gfe12!$P$2:$AA$401,12,FALSE)</f>
        <v>0.97599999999999998</v>
      </c>
      <c r="G50">
        <f>VLOOKUP(Tabla1[[#This Row],[Part Number]],tableau_gfe12!$P$2:$AA$401,8,FALSE)</f>
        <v>1</v>
      </c>
    </row>
    <row r="51" spans="1:7">
      <c r="A51" t="s">
        <v>663</v>
      </c>
      <c r="B51" t="s">
        <v>562</v>
      </c>
      <c r="C51" t="s">
        <v>563</v>
      </c>
      <c r="D51" t="s">
        <v>896</v>
      </c>
      <c r="E51" s="130" t="s">
        <v>877</v>
      </c>
      <c r="F51" s="135">
        <f>VLOOKUP(Tabla1[[#This Row],[Part Number]],tableau_gfe12!$P$2:$AA$401,12,FALSE)</f>
        <v>6.29</v>
      </c>
      <c r="G51">
        <f>VLOOKUP(Tabla1[[#This Row],[Part Number]],tableau_gfe12!$P$2:$AA$401,8,FALSE)</f>
        <v>1</v>
      </c>
    </row>
    <row r="52" spans="1:7">
      <c r="A52" s="131" t="s">
        <v>663</v>
      </c>
      <c r="B52" s="131" t="s">
        <v>533</v>
      </c>
      <c r="C52" t="s">
        <v>534</v>
      </c>
      <c r="D52" t="s">
        <v>895</v>
      </c>
      <c r="E52" s="130" t="s">
        <v>877</v>
      </c>
      <c r="F52" s="135">
        <f>VLOOKUP(Tabla1[[#This Row],[Part Number]],tableau_gfe12!$P$2:$AA$401,12,FALSE)</f>
        <v>0.1</v>
      </c>
      <c r="G52">
        <f>VLOOKUP(Tabla1[[#This Row],[Part Number]],tableau_gfe12!$P$2:$AA$401,8,FALSE)</f>
        <v>1</v>
      </c>
    </row>
    <row r="53" spans="1:7">
      <c r="A53" t="s">
        <v>663</v>
      </c>
      <c r="B53" t="s">
        <v>139</v>
      </c>
      <c r="C53" t="s">
        <v>140</v>
      </c>
      <c r="D53" t="s">
        <v>884</v>
      </c>
      <c r="E53" s="130" t="s">
        <v>877</v>
      </c>
      <c r="F53" s="135">
        <f>VLOOKUP(Tabla1[[#This Row],[Part Number]],tableau_gfe12!$P$2:$AA$401,12,FALSE)</f>
        <v>2.766</v>
      </c>
      <c r="G53">
        <f>VLOOKUP(Tabla1[[#This Row],[Part Number]],tableau_gfe12!$P$2:$AA$401,8,FALSE)</f>
        <v>1</v>
      </c>
    </row>
    <row r="54" spans="1:7">
      <c r="A54" t="s">
        <v>663</v>
      </c>
      <c r="B54" t="s">
        <v>172</v>
      </c>
      <c r="C54" t="s">
        <v>173</v>
      </c>
      <c r="D54" t="s">
        <v>897</v>
      </c>
      <c r="E54" s="130" t="s">
        <v>877</v>
      </c>
      <c r="F54" s="135">
        <f>VLOOKUP(Tabla1[[#This Row],[Part Number]],tableau_gfe12!$P$2:$AA$401,12,FALSE)</f>
        <v>0.21</v>
      </c>
      <c r="G54">
        <f>VLOOKUP(Tabla1[[#This Row],[Part Number]],tableau_gfe12!$P$2:$AA$401,8,FALSE)</f>
        <v>1</v>
      </c>
    </row>
    <row r="55" spans="1:7">
      <c r="A55" t="s">
        <v>663</v>
      </c>
      <c r="B55" t="s">
        <v>208</v>
      </c>
      <c r="C55" t="s">
        <v>209</v>
      </c>
      <c r="D55" t="s">
        <v>884</v>
      </c>
      <c r="E55" s="130" t="s">
        <v>877</v>
      </c>
      <c r="F55" s="135">
        <f>VLOOKUP(Tabla1[[#This Row],[Part Number]],tableau_gfe12!$P$2:$AA$401,12,FALSE)</f>
        <v>2.766</v>
      </c>
      <c r="G55">
        <f>VLOOKUP(Tabla1[[#This Row],[Part Number]],tableau_gfe12!$P$2:$AA$401,8,FALSE)</f>
        <v>1</v>
      </c>
    </row>
    <row r="56" spans="1:7">
      <c r="A56" t="s">
        <v>663</v>
      </c>
      <c r="B56" t="s">
        <v>898</v>
      </c>
      <c r="C56" t="s">
        <v>126</v>
      </c>
      <c r="D56" t="s">
        <v>878</v>
      </c>
      <c r="E56" s="130" t="s">
        <v>877</v>
      </c>
      <c r="F56" s="135" t="e">
        <f>VLOOKUP(Tabla1[[#This Row],[Part Number]],tableau_gfe12!$P$2:$AA$401,12,FALSE)</f>
        <v>#N/A</v>
      </c>
      <c r="G56" t="e">
        <f>VLOOKUP(Tabla1[[#This Row],[Part Number]],tableau_gfe12!$P$2:$AA$401,8,FALSE)</f>
        <v>#N/A</v>
      </c>
    </row>
    <row r="57" spans="1:7">
      <c r="A57" s="131" t="s">
        <v>663</v>
      </c>
      <c r="B57" s="131" t="s">
        <v>899</v>
      </c>
      <c r="C57" t="s">
        <v>900</v>
      </c>
      <c r="D57" t="s">
        <v>901</v>
      </c>
      <c r="E57" s="130" t="s">
        <v>877</v>
      </c>
      <c r="F57" s="135" t="e">
        <f>VLOOKUP(Tabla1[[#This Row],[Part Number]],tableau_gfe12!$P$2:$AA$401,12,FALSE)</f>
        <v>#N/A</v>
      </c>
      <c r="G57" t="e">
        <f>VLOOKUP(Tabla1[[#This Row],[Part Number]],tableau_gfe12!$P$2:$AA$401,8,FALSE)</f>
        <v>#N/A</v>
      </c>
    </row>
    <row r="58" spans="1:7">
      <c r="A58" t="s">
        <v>663</v>
      </c>
      <c r="B58" t="s">
        <v>221</v>
      </c>
      <c r="C58" t="s">
        <v>222</v>
      </c>
      <c r="D58" t="s">
        <v>897</v>
      </c>
      <c r="E58" s="130" t="s">
        <v>877</v>
      </c>
      <c r="F58" s="135">
        <f>VLOOKUP(Tabla1[[#This Row],[Part Number]],tableau_gfe12!$P$2:$AA$401,12,FALSE)</f>
        <v>0.21</v>
      </c>
      <c r="G58">
        <f>VLOOKUP(Tabla1[[#This Row],[Part Number]],tableau_gfe12!$P$2:$AA$401,8,FALSE)</f>
        <v>1</v>
      </c>
    </row>
    <row r="59" spans="1:7">
      <c r="A59" t="s">
        <v>663</v>
      </c>
      <c r="B59" t="s">
        <v>402</v>
      </c>
      <c r="C59" t="s">
        <v>419</v>
      </c>
      <c r="D59" t="s">
        <v>902</v>
      </c>
      <c r="E59" s="130" t="s">
        <v>877</v>
      </c>
      <c r="F59" s="135">
        <f>VLOOKUP(Tabla1[[#This Row],[Part Number]],tableau_gfe12!$P$2:$AA$401,12,FALSE)</f>
        <v>3.9009999999999998</v>
      </c>
      <c r="G59">
        <f>VLOOKUP(Tabla1[[#This Row],[Part Number]],tableau_gfe12!$P$2:$AA$401,8,FALSE)</f>
        <v>1</v>
      </c>
    </row>
    <row r="60" spans="1:7">
      <c r="A60" s="131" t="s">
        <v>663</v>
      </c>
      <c r="B60" s="131" t="s">
        <v>903</v>
      </c>
      <c r="C60" t="s">
        <v>544</v>
      </c>
      <c r="D60" t="s">
        <v>904</v>
      </c>
      <c r="E60" s="130" t="s">
        <v>877</v>
      </c>
      <c r="F60" s="135" t="e">
        <f>VLOOKUP(Tabla1[[#This Row],[Part Number]],tableau_gfe12!$P$2:$AA$401,12,FALSE)</f>
        <v>#N/A</v>
      </c>
      <c r="G60" t="e">
        <f>VLOOKUP(Tabla1[[#This Row],[Part Number]],tableau_gfe12!$P$2:$AA$401,8,FALSE)</f>
        <v>#N/A</v>
      </c>
    </row>
    <row r="61" spans="1:7">
      <c r="A61" t="s">
        <v>663</v>
      </c>
      <c r="B61" t="s">
        <v>440</v>
      </c>
      <c r="C61" t="s">
        <v>905</v>
      </c>
      <c r="D61" t="s">
        <v>879</v>
      </c>
      <c r="E61" s="130" t="s">
        <v>877</v>
      </c>
      <c r="F61" s="135">
        <f>VLOOKUP(Tabla1[[#This Row],[Part Number]],tableau_gfe12!$P$2:$AA$401,12,FALSE)</f>
        <v>0.6</v>
      </c>
      <c r="G61">
        <f>VLOOKUP(Tabla1[[#This Row],[Part Number]],tableau_gfe12!$P$2:$AA$401,8,FALSE)</f>
        <v>1</v>
      </c>
    </row>
    <row r="62" spans="1:7">
      <c r="A62" t="s">
        <v>663</v>
      </c>
      <c r="B62" t="s">
        <v>585</v>
      </c>
      <c r="C62" t="s">
        <v>586</v>
      </c>
      <c r="D62" t="s">
        <v>906</v>
      </c>
      <c r="E62" s="132" t="s">
        <v>907</v>
      </c>
      <c r="F62" s="136">
        <f>VLOOKUP(Tabla1[[#This Row],[Part Number]],tableau_gfe12!$P$2:$AA$401,12,FALSE)</f>
        <v>1.2</v>
      </c>
      <c r="G62">
        <f>VLOOKUP(Tabla1[[#This Row],[Part Number]],tableau_gfe12!$P$2:$AA$401,8,FALSE)</f>
        <v>1</v>
      </c>
    </row>
    <row r="63" spans="1:7">
      <c r="A63" t="s">
        <v>663</v>
      </c>
      <c r="B63" t="s">
        <v>129</v>
      </c>
      <c r="C63" t="s">
        <v>130</v>
      </c>
      <c r="D63" t="s">
        <v>908</v>
      </c>
      <c r="E63" s="132" t="s">
        <v>907</v>
      </c>
      <c r="F63" s="136">
        <f>VLOOKUP(Tabla1[[#This Row],[Part Number]],tableau_gfe12!$P$2:$AA$401,12,FALSE)</f>
        <v>0.06</v>
      </c>
      <c r="G63">
        <f>VLOOKUP(Tabla1[[#This Row],[Part Number]],tableau_gfe12!$P$2:$AA$401,8,FALSE)</f>
        <v>1</v>
      </c>
    </row>
    <row r="64" spans="1:7">
      <c r="A64" t="s">
        <v>663</v>
      </c>
      <c r="B64" t="s">
        <v>909</v>
      </c>
      <c r="C64" t="s">
        <v>900</v>
      </c>
      <c r="D64" t="s">
        <v>910</v>
      </c>
      <c r="E64" s="132" t="s">
        <v>907</v>
      </c>
      <c r="F64" s="136">
        <f>VLOOKUP(Tabla1[[#This Row],[Part Number]],tableau_gfe12!$P$2:$AA$401,12,FALSE)</f>
        <v>0</v>
      </c>
      <c r="G64">
        <f>VLOOKUP(Tabla1[[#This Row],[Part Number]],tableau_gfe12!$P$2:$AA$401,8,FALSE)</f>
        <v>2</v>
      </c>
    </row>
    <row r="65" spans="1:7">
      <c r="A65" t="s">
        <v>663</v>
      </c>
      <c r="B65" t="s">
        <v>525</v>
      </c>
      <c r="C65" t="s">
        <v>526</v>
      </c>
      <c r="D65" t="s">
        <v>911</v>
      </c>
      <c r="E65" s="132" t="s">
        <v>907</v>
      </c>
      <c r="F65" s="136">
        <f>VLOOKUP(Tabla1[[#This Row],[Part Number]],tableau_gfe12!$P$2:$AA$401,12,FALSE)</f>
        <v>1.65</v>
      </c>
      <c r="G65">
        <f>VLOOKUP(Tabla1[[#This Row],[Part Number]],tableau_gfe12!$P$2:$AA$401,8,FALSE)</f>
        <v>1</v>
      </c>
    </row>
    <row r="66" spans="1:7">
      <c r="A66" t="s">
        <v>663</v>
      </c>
      <c r="B66" t="s">
        <v>80</v>
      </c>
      <c r="C66" t="s">
        <v>77</v>
      </c>
      <c r="D66" t="s">
        <v>12</v>
      </c>
      <c r="E66" s="132" t="s">
        <v>907</v>
      </c>
      <c r="F66" s="137">
        <f>VLOOKUP(Tabla1[[#This Row],[Part Number]],tableau_gfe12!$P$2:$AA$401,12,FALSE)</f>
        <v>0</v>
      </c>
      <c r="G66">
        <f>VLOOKUP(Tabla1[[#This Row],[Part Number]],tableau_gfe12!$P$2:$AA$401,8,FALSE)</f>
        <v>1</v>
      </c>
    </row>
    <row r="67" spans="1:7">
      <c r="A67" t="s">
        <v>663</v>
      </c>
      <c r="B67" t="s">
        <v>76</v>
      </c>
      <c r="C67" t="s">
        <v>81</v>
      </c>
      <c r="D67" t="s">
        <v>12</v>
      </c>
      <c r="E67" s="132" t="s">
        <v>907</v>
      </c>
      <c r="F67" s="137">
        <f>VLOOKUP(Tabla1[[#This Row],[Part Number]],tableau_gfe12!$P$2:$AA$401,12,FALSE)</f>
        <v>0</v>
      </c>
      <c r="G67">
        <f>VLOOKUP(Tabla1[[#This Row],[Part Number]],tableau_gfe12!$P$2:$AA$401,8,FALSE)</f>
        <v>1</v>
      </c>
    </row>
    <row r="68" spans="1:7">
      <c r="A68" t="s">
        <v>663</v>
      </c>
      <c r="B68" t="s">
        <v>326</v>
      </c>
      <c r="C68" t="s">
        <v>327</v>
      </c>
      <c r="D68" t="s">
        <v>891</v>
      </c>
      <c r="E68" s="132" t="s">
        <v>907</v>
      </c>
      <c r="F68" s="136">
        <f>VLOOKUP(Tabla1[[#This Row],[Part Number]],tableau_gfe12!$P$2:$AA$401,12,FALSE)</f>
        <v>0.26500000000000001</v>
      </c>
      <c r="G68">
        <f>VLOOKUP(Tabla1[[#This Row],[Part Number]],tableau_gfe12!$P$2:$AA$401,8,FALSE)</f>
        <v>1</v>
      </c>
    </row>
    <row r="69" spans="1:7">
      <c r="A69" t="s">
        <v>663</v>
      </c>
      <c r="B69" t="s">
        <v>566</v>
      </c>
      <c r="C69" t="s">
        <v>567</v>
      </c>
      <c r="D69" t="s">
        <v>912</v>
      </c>
      <c r="E69" s="132" t="s">
        <v>907</v>
      </c>
      <c r="F69" s="136">
        <f>VLOOKUP(Tabla1[[#This Row],[Part Number]],tableau_gfe12!$P$2:$AA$401,12,FALSE)</f>
        <v>0.36</v>
      </c>
      <c r="G69">
        <f>VLOOKUP(Tabla1[[#This Row],[Part Number]],tableau_gfe12!$P$2:$AA$401,8,FALSE)</f>
        <v>1</v>
      </c>
    </row>
    <row r="70" spans="1:7">
      <c r="A70" t="s">
        <v>663</v>
      </c>
      <c r="B70" t="s">
        <v>573</v>
      </c>
      <c r="C70" t="s">
        <v>574</v>
      </c>
      <c r="D70" t="s">
        <v>897</v>
      </c>
      <c r="E70" s="132" t="s">
        <v>907</v>
      </c>
      <c r="F70" s="136">
        <f>VLOOKUP(Tabla1[[#This Row],[Part Number]],tableau_gfe12!$P$2:$AA$401,12,FALSE)</f>
        <v>0.23</v>
      </c>
      <c r="G70">
        <f>VLOOKUP(Tabla1[[#This Row],[Part Number]],tableau_gfe12!$P$2:$AA$401,8,FALSE)</f>
        <v>1</v>
      </c>
    </row>
    <row r="71" spans="1:7">
      <c r="A71" t="s">
        <v>663</v>
      </c>
      <c r="B71" t="s">
        <v>568</v>
      </c>
      <c r="C71" t="s">
        <v>569</v>
      </c>
      <c r="D71" t="s">
        <v>897</v>
      </c>
      <c r="E71" s="132" t="s">
        <v>907</v>
      </c>
      <c r="F71" s="137">
        <f>VLOOKUP(Tabla1[[#This Row],[Part Number]],tableau_gfe12!$P$2:$AA$401,12,FALSE)</f>
        <v>0</v>
      </c>
      <c r="G71">
        <f>VLOOKUP(Tabla1[[#This Row],[Part Number]],tableau_gfe12!$P$2:$AA$401,8,FALSE)</f>
        <v>1</v>
      </c>
    </row>
    <row r="72" spans="1:7">
      <c r="A72" t="s">
        <v>663</v>
      </c>
      <c r="B72" t="s">
        <v>594</v>
      </c>
      <c r="C72" t="s">
        <v>595</v>
      </c>
      <c r="D72" t="s">
        <v>12</v>
      </c>
      <c r="E72" s="132" t="s">
        <v>907</v>
      </c>
      <c r="F72" s="136">
        <f>VLOOKUP(Tabla1[[#This Row],[Part Number]],tableau_gfe12!$P$2:$AA$401,12,FALSE)</f>
        <v>0.96</v>
      </c>
      <c r="G72">
        <f>VLOOKUP(Tabla1[[#This Row],[Part Number]],tableau_gfe12!$P$2:$AA$401,8,FALSE)</f>
        <v>1</v>
      </c>
    </row>
    <row r="73" spans="1:7">
      <c r="A73" t="s">
        <v>663</v>
      </c>
      <c r="B73" t="s">
        <v>442</v>
      </c>
      <c r="C73" t="s">
        <v>443</v>
      </c>
      <c r="D73" t="s">
        <v>12</v>
      </c>
      <c r="E73" s="132" t="s">
        <v>907</v>
      </c>
      <c r="F73" s="136">
        <f>VLOOKUP(Tabla1[[#This Row],[Part Number]],tableau_gfe12!$P$2:$AA$401,12,FALSE)</f>
        <v>1.306</v>
      </c>
      <c r="G73">
        <f>VLOOKUP(Tabla1[[#This Row],[Part Number]],tableau_gfe12!$P$2:$AA$401,8,FALSE)</f>
        <v>1</v>
      </c>
    </row>
    <row r="74" spans="1:7">
      <c r="A74" t="s">
        <v>663</v>
      </c>
      <c r="B74" t="s">
        <v>64</v>
      </c>
      <c r="C74" t="s">
        <v>65</v>
      </c>
      <c r="D74" t="s">
        <v>896</v>
      </c>
      <c r="E74" s="132" t="s">
        <v>907</v>
      </c>
      <c r="F74" s="136">
        <f>VLOOKUP(Tabla1[[#This Row],[Part Number]],tableau_gfe12!$P$2:$AA$401,12,FALSE)</f>
        <v>4.58</v>
      </c>
      <c r="G74">
        <f>VLOOKUP(Tabla1[[#This Row],[Part Number]],tableau_gfe12!$P$2:$AA$401,8,FALSE)</f>
        <v>1</v>
      </c>
    </row>
    <row r="75" spans="1:7">
      <c r="A75" t="s">
        <v>663</v>
      </c>
      <c r="B75" t="s">
        <v>913</v>
      </c>
      <c r="C75" t="s">
        <v>313</v>
      </c>
      <c r="D75" t="s">
        <v>895</v>
      </c>
      <c r="E75" s="132" t="s">
        <v>907</v>
      </c>
      <c r="F75" s="136" t="e">
        <f>VLOOKUP(Tabla1[[#This Row],[Part Number]],tableau_gfe12!$P$2:$AA$401,12,FALSE)</f>
        <v>#N/A</v>
      </c>
      <c r="G75" t="e">
        <f>VLOOKUP(Tabla1[[#This Row],[Part Number]],tableau_gfe12!$P$2:$AA$401,8,FALSE)</f>
        <v>#N/A</v>
      </c>
    </row>
    <row r="76" spans="1:7">
      <c r="A76" t="s">
        <v>914</v>
      </c>
      <c r="B76">
        <f>SUBTOTAL(103,Tabla1[Part Number])</f>
        <v>74</v>
      </c>
      <c r="E76" s="130"/>
      <c r="F76" s="130"/>
    </row>
  </sheetData>
  <phoneticPr fontId="49" type="noConversion"/>
  <conditionalFormatting sqref="C76:D76 C1:D1 B77:D1048576 B1:B76">
    <cfRule type="duplicateValues" dxfId="1" priority="1"/>
  </conditionalFormatting>
  <conditionalFormatting sqref="B2:B75">
    <cfRule type="duplicateValues" dxfId="0" priority="2"/>
  </conditionalFormatting>
  <pageMargins left="0.7" right="0.7" top="0.75" bottom="0.75" header="0.3" footer="0.3"/>
  <headerFooter>
    <oddFooter>&amp;R_x000D_&amp;1#&amp;"Arial"&amp;10&amp;K000000 Confidential C</oddFooter>
  </headerFooter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7732CF-5A0B-41E9-829B-A7D4FDE2FB30}">
  <sheetPr filterMode="1"/>
  <dimension ref="A1:AH108"/>
  <sheetViews>
    <sheetView tabSelected="1" topLeftCell="D1" workbookViewId="0">
      <selection activeCell="O20" sqref="O20"/>
    </sheetView>
  </sheetViews>
  <sheetFormatPr baseColWidth="10" defaultColWidth="9.28515625" defaultRowHeight="15"/>
  <cols>
    <col min="2" max="2" width="16.28515625" style="199" customWidth="1"/>
    <col min="3" max="3" width="16.28515625" bestFit="1" customWidth="1"/>
    <col min="4" max="4" width="44" bestFit="1" customWidth="1"/>
    <col min="5" max="5" width="43.42578125" bestFit="1" customWidth="1"/>
    <col min="6" max="6" width="11" style="199" customWidth="1"/>
    <col min="7" max="7" width="21.140625" bestFit="1" customWidth="1"/>
    <col min="8" max="8" width="20.7109375" customWidth="1"/>
    <col min="9" max="9" width="31.28515625" customWidth="1"/>
    <col min="10" max="10" width="19.28515625" customWidth="1"/>
    <col min="11" max="11" width="21.7109375" style="201" bestFit="1" customWidth="1"/>
    <col min="12" max="12" width="12.7109375" style="201" customWidth="1"/>
    <col min="13" max="13" width="13.85546875" style="201" bestFit="1" customWidth="1"/>
    <col min="14" max="15" width="13.85546875" style="201" customWidth="1"/>
  </cols>
  <sheetData>
    <row r="1" spans="1:15" ht="45">
      <c r="B1" s="182" t="s">
        <v>926</v>
      </c>
      <c r="C1" s="183" t="s">
        <v>927</v>
      </c>
      <c r="D1" s="183" t="s">
        <v>928</v>
      </c>
      <c r="E1" s="183" t="s">
        <v>929</v>
      </c>
      <c r="F1" s="184" t="s">
        <v>930</v>
      </c>
      <c r="G1" s="183" t="s">
        <v>931</v>
      </c>
      <c r="H1" s="185" t="s">
        <v>932</v>
      </c>
      <c r="I1" s="183" t="s">
        <v>3</v>
      </c>
      <c r="J1" s="183" t="s">
        <v>933</v>
      </c>
      <c r="K1" s="183" t="s">
        <v>934</v>
      </c>
      <c r="L1" s="183" t="s">
        <v>935</v>
      </c>
      <c r="M1" s="183" t="s">
        <v>936</v>
      </c>
      <c r="N1" s="215" t="s">
        <v>8</v>
      </c>
      <c r="O1" s="215" t="s">
        <v>916</v>
      </c>
    </row>
    <row r="2" spans="1:15" hidden="1">
      <c r="A2" s="186"/>
      <c r="B2" s="187">
        <v>12</v>
      </c>
      <c r="C2" s="188" t="s">
        <v>937</v>
      </c>
      <c r="D2" s="188" t="s">
        <v>492</v>
      </c>
      <c r="E2" s="189" t="s">
        <v>938</v>
      </c>
      <c r="F2" s="187">
        <v>1</v>
      </c>
      <c r="G2" s="190" t="s">
        <v>939</v>
      </c>
      <c r="H2" s="189" t="s">
        <v>940</v>
      </c>
      <c r="I2" s="191" t="s">
        <v>941</v>
      </c>
      <c r="J2" s="189" t="s">
        <v>942</v>
      </c>
      <c r="K2" s="192" t="s">
        <v>943</v>
      </c>
      <c r="L2" s="193">
        <v>1</v>
      </c>
      <c r="M2" s="194" t="s">
        <v>944</v>
      </c>
      <c r="N2" s="216"/>
      <c r="O2" s="216"/>
    </row>
    <row r="3" spans="1:15" hidden="1">
      <c r="A3" s="186"/>
      <c r="B3" s="187">
        <v>12</v>
      </c>
      <c r="C3" s="188" t="s">
        <v>945</v>
      </c>
      <c r="D3" s="188" t="s">
        <v>946</v>
      </c>
      <c r="E3" s="189" t="s">
        <v>947</v>
      </c>
      <c r="F3" s="187">
        <v>1</v>
      </c>
      <c r="G3" s="190" t="s">
        <v>939</v>
      </c>
      <c r="H3" s="189" t="s">
        <v>940</v>
      </c>
      <c r="I3" s="188" t="s">
        <v>684</v>
      </c>
      <c r="J3" s="189" t="s">
        <v>942</v>
      </c>
      <c r="K3" s="192" t="s">
        <v>943</v>
      </c>
      <c r="L3" s="193">
        <v>1</v>
      </c>
      <c r="M3" s="194" t="s">
        <v>944</v>
      </c>
      <c r="N3" s="216"/>
      <c r="O3" s="216"/>
    </row>
    <row r="4" spans="1:15" hidden="1">
      <c r="A4" s="186"/>
      <c r="B4" s="187">
        <v>12</v>
      </c>
      <c r="C4" s="188" t="s">
        <v>948</v>
      </c>
      <c r="D4" s="188" t="s">
        <v>949</v>
      </c>
      <c r="E4" s="189" t="s">
        <v>950</v>
      </c>
      <c r="F4" s="187">
        <v>1</v>
      </c>
      <c r="G4" s="190" t="s">
        <v>939</v>
      </c>
      <c r="H4" s="189" t="s">
        <v>940</v>
      </c>
      <c r="I4" s="188" t="s">
        <v>684</v>
      </c>
      <c r="J4" s="189" t="s">
        <v>942</v>
      </c>
      <c r="K4" s="192" t="s">
        <v>943</v>
      </c>
      <c r="L4" s="193">
        <v>1</v>
      </c>
      <c r="M4" s="194" t="s">
        <v>944</v>
      </c>
      <c r="N4" s="216"/>
      <c r="O4" s="216"/>
    </row>
    <row r="5" spans="1:15" hidden="1">
      <c r="A5" s="186"/>
      <c r="B5" s="187">
        <v>12</v>
      </c>
      <c r="C5" s="188" t="s">
        <v>951</v>
      </c>
      <c r="D5" s="188" t="s">
        <v>952</v>
      </c>
      <c r="E5" s="189" t="s">
        <v>953</v>
      </c>
      <c r="F5" s="187">
        <v>1</v>
      </c>
      <c r="G5" s="190" t="s">
        <v>939</v>
      </c>
      <c r="H5" s="189" t="s">
        <v>940</v>
      </c>
      <c r="I5" s="188" t="s">
        <v>684</v>
      </c>
      <c r="J5" s="189" t="s">
        <v>942</v>
      </c>
      <c r="K5" s="192" t="s">
        <v>943</v>
      </c>
      <c r="L5" s="193">
        <v>1</v>
      </c>
      <c r="M5" s="194" t="s">
        <v>944</v>
      </c>
      <c r="N5" s="216"/>
      <c r="O5" s="216"/>
    </row>
    <row r="6" spans="1:15" hidden="1">
      <c r="A6" s="186"/>
      <c r="B6" s="187">
        <v>12</v>
      </c>
      <c r="C6" s="188" t="s">
        <v>954</v>
      </c>
      <c r="D6" s="188" t="s">
        <v>955</v>
      </c>
      <c r="E6" s="189" t="s">
        <v>956</v>
      </c>
      <c r="F6" s="187">
        <v>1</v>
      </c>
      <c r="G6" s="190" t="s">
        <v>939</v>
      </c>
      <c r="H6" s="189" t="s">
        <v>940</v>
      </c>
      <c r="I6" s="188" t="s">
        <v>684</v>
      </c>
      <c r="J6" s="189" t="s">
        <v>942</v>
      </c>
      <c r="K6" s="192" t="s">
        <v>943</v>
      </c>
      <c r="L6" s="193">
        <v>1</v>
      </c>
      <c r="M6" s="194" t="s">
        <v>944</v>
      </c>
      <c r="N6" s="216"/>
      <c r="O6" s="216"/>
    </row>
    <row r="7" spans="1:15" hidden="1">
      <c r="A7" s="186"/>
      <c r="B7" s="187">
        <v>12</v>
      </c>
      <c r="C7" s="188" t="s">
        <v>957</v>
      </c>
      <c r="D7" s="188" t="s">
        <v>958</v>
      </c>
      <c r="E7" s="189" t="s">
        <v>959</v>
      </c>
      <c r="F7" s="187">
        <v>1</v>
      </c>
      <c r="G7" s="190" t="s">
        <v>939</v>
      </c>
      <c r="H7" s="189" t="s">
        <v>940</v>
      </c>
      <c r="I7" s="189" t="s">
        <v>878</v>
      </c>
      <c r="J7" s="189" t="s">
        <v>942</v>
      </c>
      <c r="K7" s="192" t="s">
        <v>943</v>
      </c>
      <c r="L7" s="193">
        <v>1</v>
      </c>
      <c r="M7" s="194" t="s">
        <v>944</v>
      </c>
      <c r="N7" s="216"/>
      <c r="O7" s="216"/>
    </row>
    <row r="8" spans="1:15" hidden="1">
      <c r="A8" s="186"/>
      <c r="B8" s="187">
        <v>12</v>
      </c>
      <c r="C8" s="188" t="s">
        <v>960</v>
      </c>
      <c r="D8" s="188" t="s">
        <v>961</v>
      </c>
      <c r="E8" s="189" t="s">
        <v>962</v>
      </c>
      <c r="F8" s="187">
        <v>1</v>
      </c>
      <c r="G8" s="190" t="s">
        <v>939</v>
      </c>
      <c r="H8" s="189" t="s">
        <v>940</v>
      </c>
      <c r="I8" s="188" t="s">
        <v>963</v>
      </c>
      <c r="J8" s="189" t="s">
        <v>942</v>
      </c>
      <c r="K8" s="192" t="s">
        <v>943</v>
      </c>
      <c r="L8" s="193">
        <v>1</v>
      </c>
      <c r="M8" s="194" t="s">
        <v>944</v>
      </c>
      <c r="N8" s="216"/>
      <c r="O8" s="216"/>
    </row>
    <row r="9" spans="1:15" hidden="1">
      <c r="A9" s="186"/>
      <c r="B9" s="187">
        <v>12</v>
      </c>
      <c r="C9" s="188" t="s">
        <v>964</v>
      </c>
      <c r="D9" s="188" t="s">
        <v>965</v>
      </c>
      <c r="E9" s="189" t="s">
        <v>966</v>
      </c>
      <c r="F9" s="187">
        <v>1</v>
      </c>
      <c r="G9" s="190" t="s">
        <v>939</v>
      </c>
      <c r="H9" s="189" t="s">
        <v>940</v>
      </c>
      <c r="I9" s="188" t="s">
        <v>963</v>
      </c>
      <c r="J9" s="189" t="s">
        <v>942</v>
      </c>
      <c r="K9" s="192" t="s">
        <v>943</v>
      </c>
      <c r="L9" s="193">
        <v>1</v>
      </c>
      <c r="M9" s="194" t="s">
        <v>944</v>
      </c>
      <c r="N9" s="216"/>
      <c r="O9" s="216"/>
    </row>
    <row r="10" spans="1:15" hidden="1">
      <c r="A10" s="186"/>
      <c r="B10" s="187">
        <v>12</v>
      </c>
      <c r="C10" s="188" t="s">
        <v>967</v>
      </c>
      <c r="D10" s="188" t="s">
        <v>968</v>
      </c>
      <c r="E10" s="189" t="s">
        <v>969</v>
      </c>
      <c r="F10" s="187">
        <v>1</v>
      </c>
      <c r="G10" s="190" t="s">
        <v>939</v>
      </c>
      <c r="H10" s="189" t="s">
        <v>940</v>
      </c>
      <c r="I10" s="188" t="s">
        <v>684</v>
      </c>
      <c r="J10" s="189" t="s">
        <v>942</v>
      </c>
      <c r="K10" s="192" t="s">
        <v>943</v>
      </c>
      <c r="L10" s="193">
        <v>1</v>
      </c>
      <c r="M10" s="194" t="s">
        <v>944</v>
      </c>
      <c r="N10" s="216"/>
      <c r="O10" s="216"/>
    </row>
    <row r="11" spans="1:15" hidden="1">
      <c r="A11" s="186"/>
      <c r="B11" s="187">
        <v>12</v>
      </c>
      <c r="C11" s="188" t="s">
        <v>970</v>
      </c>
      <c r="D11" s="188" t="s">
        <v>971</v>
      </c>
      <c r="E11" s="189" t="s">
        <v>972</v>
      </c>
      <c r="F11" s="187">
        <v>1</v>
      </c>
      <c r="G11" s="190" t="s">
        <v>939</v>
      </c>
      <c r="H11" s="189" t="s">
        <v>940</v>
      </c>
      <c r="I11" s="188" t="s">
        <v>684</v>
      </c>
      <c r="J11" s="189" t="s">
        <v>942</v>
      </c>
      <c r="K11" s="192" t="s">
        <v>943</v>
      </c>
      <c r="L11" s="193">
        <v>1</v>
      </c>
      <c r="M11" s="194" t="s">
        <v>944</v>
      </c>
      <c r="N11" s="216"/>
      <c r="O11" s="216"/>
    </row>
    <row r="12" spans="1:15" hidden="1">
      <c r="A12" s="186"/>
      <c r="B12" s="187">
        <v>12</v>
      </c>
      <c r="C12" s="188" t="s">
        <v>973</v>
      </c>
      <c r="D12" s="188" t="s">
        <v>974</v>
      </c>
      <c r="E12" s="189" t="s">
        <v>975</v>
      </c>
      <c r="F12" s="187">
        <v>1</v>
      </c>
      <c r="G12" s="190" t="s">
        <v>939</v>
      </c>
      <c r="H12" s="189" t="s">
        <v>940</v>
      </c>
      <c r="I12" s="188" t="s">
        <v>963</v>
      </c>
      <c r="J12" s="189" t="s">
        <v>942</v>
      </c>
      <c r="K12" s="192" t="s">
        <v>943</v>
      </c>
      <c r="L12" s="193">
        <v>1</v>
      </c>
      <c r="M12" s="194" t="s">
        <v>944</v>
      </c>
      <c r="N12" s="216"/>
      <c r="O12" s="216"/>
    </row>
    <row r="13" spans="1:15" hidden="1">
      <c r="A13" s="186"/>
      <c r="B13" s="187">
        <v>12</v>
      </c>
      <c r="C13" s="188" t="s">
        <v>976</v>
      </c>
      <c r="D13" s="188" t="s">
        <v>977</v>
      </c>
      <c r="E13" s="189" t="s">
        <v>978</v>
      </c>
      <c r="F13" s="187">
        <v>1</v>
      </c>
      <c r="G13" s="190" t="s">
        <v>939</v>
      </c>
      <c r="H13" s="189" t="s">
        <v>940</v>
      </c>
      <c r="I13" s="188" t="s">
        <v>963</v>
      </c>
      <c r="J13" s="189" t="s">
        <v>942</v>
      </c>
      <c r="K13" s="192" t="s">
        <v>943</v>
      </c>
      <c r="L13" s="193">
        <v>1</v>
      </c>
      <c r="M13" s="194" t="s">
        <v>944</v>
      </c>
      <c r="N13" s="216"/>
      <c r="O13" s="216"/>
    </row>
    <row r="14" spans="1:15" hidden="1">
      <c r="A14" s="186"/>
      <c r="B14" s="187">
        <v>12</v>
      </c>
      <c r="C14" s="188" t="s">
        <v>979</v>
      </c>
      <c r="D14" s="188" t="s">
        <v>980</v>
      </c>
      <c r="E14" s="189" t="s">
        <v>981</v>
      </c>
      <c r="F14" s="187">
        <v>1</v>
      </c>
      <c r="G14" s="190" t="s">
        <v>939</v>
      </c>
      <c r="H14" s="189" t="s">
        <v>940</v>
      </c>
      <c r="I14" s="189" t="s">
        <v>884</v>
      </c>
      <c r="J14" s="189" t="s">
        <v>982</v>
      </c>
      <c r="K14" s="192" t="s">
        <v>943</v>
      </c>
      <c r="L14" s="193">
        <v>1</v>
      </c>
      <c r="M14" s="194" t="s">
        <v>944</v>
      </c>
      <c r="N14" s="216"/>
      <c r="O14" s="216"/>
    </row>
    <row r="15" spans="1:15" hidden="1">
      <c r="A15" s="186"/>
      <c r="B15" s="187">
        <v>12</v>
      </c>
      <c r="C15" s="188" t="s">
        <v>983</v>
      </c>
      <c r="D15" s="188" t="s">
        <v>984</v>
      </c>
      <c r="E15" s="189" t="s">
        <v>985</v>
      </c>
      <c r="F15" s="187">
        <v>1</v>
      </c>
      <c r="G15" s="190" t="s">
        <v>939</v>
      </c>
      <c r="H15" s="189" t="s">
        <v>940</v>
      </c>
      <c r="I15" s="188" t="s">
        <v>986</v>
      </c>
      <c r="J15" s="189" t="s">
        <v>987</v>
      </c>
      <c r="K15" s="192" t="s">
        <v>943</v>
      </c>
      <c r="L15" s="193">
        <v>1</v>
      </c>
      <c r="M15" s="194" t="s">
        <v>944</v>
      </c>
      <c r="N15" s="216"/>
      <c r="O15" s="216"/>
    </row>
    <row r="16" spans="1:15" hidden="1">
      <c r="A16" s="186"/>
      <c r="B16" s="187">
        <v>12</v>
      </c>
      <c r="C16" s="188" t="s">
        <v>988</v>
      </c>
      <c r="D16" s="188" t="s">
        <v>989</v>
      </c>
      <c r="E16" s="189" t="s">
        <v>990</v>
      </c>
      <c r="F16" s="187">
        <v>1</v>
      </c>
      <c r="G16" s="190" t="s">
        <v>939</v>
      </c>
      <c r="H16" s="189" t="s">
        <v>940</v>
      </c>
      <c r="I16" s="188" t="s">
        <v>663</v>
      </c>
      <c r="J16" s="189" t="s">
        <v>987</v>
      </c>
      <c r="K16" s="192" t="s">
        <v>943</v>
      </c>
      <c r="L16" s="193">
        <v>1</v>
      </c>
      <c r="M16" s="194" t="s">
        <v>944</v>
      </c>
      <c r="N16" s="216"/>
      <c r="O16" s="216"/>
    </row>
    <row r="17" spans="1:16" hidden="1">
      <c r="A17" s="186"/>
      <c r="B17" s="187">
        <v>12</v>
      </c>
      <c r="C17" s="188" t="s">
        <v>991</v>
      </c>
      <c r="D17" s="188" t="s">
        <v>992</v>
      </c>
      <c r="E17" s="189" t="s">
        <v>993</v>
      </c>
      <c r="F17" s="187">
        <v>1</v>
      </c>
      <c r="G17" s="190" t="s">
        <v>939</v>
      </c>
      <c r="H17" s="189" t="s">
        <v>940</v>
      </c>
      <c r="I17" s="188" t="s">
        <v>986</v>
      </c>
      <c r="J17" s="189" t="s">
        <v>987</v>
      </c>
      <c r="K17" s="192" t="s">
        <v>943</v>
      </c>
      <c r="L17" s="193">
        <v>1</v>
      </c>
      <c r="M17" s="194" t="s">
        <v>944</v>
      </c>
      <c r="N17" s="216"/>
      <c r="O17" s="216"/>
    </row>
    <row r="18" spans="1:16" hidden="1">
      <c r="A18" s="186"/>
      <c r="B18" s="187">
        <v>12</v>
      </c>
      <c r="C18" s="188" t="s">
        <v>994</v>
      </c>
      <c r="D18" s="188" t="s">
        <v>995</v>
      </c>
      <c r="E18" s="189" t="s">
        <v>996</v>
      </c>
      <c r="F18" s="187">
        <v>1</v>
      </c>
      <c r="G18" s="190" t="s">
        <v>939</v>
      </c>
      <c r="H18" s="189" t="s">
        <v>940</v>
      </c>
      <c r="I18" s="188" t="s">
        <v>663</v>
      </c>
      <c r="J18" s="189" t="s">
        <v>987</v>
      </c>
      <c r="K18" s="192" t="s">
        <v>943</v>
      </c>
      <c r="L18" s="193">
        <v>1</v>
      </c>
      <c r="M18" s="194" t="s">
        <v>944</v>
      </c>
      <c r="N18" s="216"/>
      <c r="O18" s="216"/>
    </row>
    <row r="19" spans="1:16" hidden="1">
      <c r="A19" s="186"/>
      <c r="B19" s="187">
        <v>12</v>
      </c>
      <c r="C19" s="188" t="s">
        <v>997</v>
      </c>
      <c r="D19" s="188" t="s">
        <v>998</v>
      </c>
      <c r="E19" s="189"/>
      <c r="F19" s="187">
        <v>1</v>
      </c>
      <c r="G19" s="190" t="s">
        <v>939</v>
      </c>
      <c r="H19" s="189" t="s">
        <v>940</v>
      </c>
      <c r="I19" s="188" t="s">
        <v>663</v>
      </c>
      <c r="J19" s="189" t="s">
        <v>987</v>
      </c>
      <c r="K19" s="192" t="s">
        <v>943</v>
      </c>
      <c r="L19" s="193">
        <v>1</v>
      </c>
      <c r="M19" s="194" t="s">
        <v>944</v>
      </c>
      <c r="N19" s="216"/>
      <c r="O19" s="216"/>
    </row>
    <row r="20" spans="1:16">
      <c r="A20" s="195"/>
      <c r="B20" s="187">
        <v>12</v>
      </c>
      <c r="C20" s="188" t="s">
        <v>594</v>
      </c>
      <c r="D20" s="188" t="s">
        <v>595</v>
      </c>
      <c r="E20" s="189" t="s">
        <v>999</v>
      </c>
      <c r="F20" s="187">
        <v>1</v>
      </c>
      <c r="G20" s="190" t="s">
        <v>939</v>
      </c>
      <c r="H20" s="189" t="s">
        <v>940</v>
      </c>
      <c r="I20" s="188" t="s">
        <v>663</v>
      </c>
      <c r="J20" s="189" t="s">
        <v>987</v>
      </c>
      <c r="K20" s="192" t="s">
        <v>943</v>
      </c>
      <c r="L20" s="193">
        <v>1</v>
      </c>
      <c r="M20" s="194" t="s">
        <v>1000</v>
      </c>
      <c r="N20" s="216">
        <f>VLOOKUP(C20,tableau_gfe12!$P$2:$AB$401,8,FALSE)</f>
        <v>1</v>
      </c>
      <c r="O20" s="216">
        <f>VLOOKUP(C20,tableau_gfe12!$P$2:$AB$401,12,FALSE)</f>
        <v>0.96</v>
      </c>
      <c r="P20" t="e">
        <f>VLOOKUP(C20,'[1]LPI Ariel'!$B$3:$G$72,6,FALSE)</f>
        <v>#N/A</v>
      </c>
    </row>
    <row r="21" spans="1:16" hidden="1">
      <c r="A21" s="186"/>
      <c r="B21" s="187">
        <v>12</v>
      </c>
      <c r="C21" s="188" t="s">
        <v>1001</v>
      </c>
      <c r="D21" s="188" t="s">
        <v>1002</v>
      </c>
      <c r="E21" s="189" t="s">
        <v>1003</v>
      </c>
      <c r="F21" s="187">
        <v>1</v>
      </c>
      <c r="G21" s="190" t="s">
        <v>939</v>
      </c>
      <c r="H21" s="189" t="s">
        <v>940</v>
      </c>
      <c r="I21" s="188" t="s">
        <v>891</v>
      </c>
      <c r="J21" s="189" t="s">
        <v>982</v>
      </c>
      <c r="K21" s="192" t="s">
        <v>943</v>
      </c>
      <c r="L21" s="193">
        <v>1</v>
      </c>
      <c r="M21" s="194" t="s">
        <v>944</v>
      </c>
      <c r="N21" s="216"/>
      <c r="O21" s="216"/>
    </row>
    <row r="22" spans="1:16" hidden="1">
      <c r="A22" s="186"/>
      <c r="B22" s="187">
        <v>12</v>
      </c>
      <c r="C22" s="188" t="s">
        <v>1004</v>
      </c>
      <c r="D22" s="188" t="s">
        <v>1005</v>
      </c>
      <c r="E22" s="189" t="s">
        <v>1006</v>
      </c>
      <c r="F22" s="187">
        <v>1</v>
      </c>
      <c r="G22" s="190" t="s">
        <v>939</v>
      </c>
      <c r="H22" s="189" t="s">
        <v>940</v>
      </c>
      <c r="I22" s="188" t="s">
        <v>891</v>
      </c>
      <c r="J22" s="189" t="s">
        <v>982</v>
      </c>
      <c r="K22" s="192" t="s">
        <v>943</v>
      </c>
      <c r="L22" s="193">
        <v>1</v>
      </c>
      <c r="M22" s="194" t="s">
        <v>944</v>
      </c>
      <c r="N22" s="216"/>
      <c r="O22" s="216"/>
    </row>
    <row r="23" spans="1:16" hidden="1">
      <c r="A23" s="186"/>
      <c r="B23" s="187">
        <v>12</v>
      </c>
      <c r="C23" s="188">
        <v>8200251574</v>
      </c>
      <c r="D23" s="188" t="s">
        <v>1007</v>
      </c>
      <c r="E23" s="189" t="s">
        <v>1008</v>
      </c>
      <c r="F23" s="187">
        <v>2</v>
      </c>
      <c r="G23" s="190" t="s">
        <v>939</v>
      </c>
      <c r="H23" s="189" t="s">
        <v>940</v>
      </c>
      <c r="I23" s="188" t="s">
        <v>1009</v>
      </c>
      <c r="J23" s="189" t="s">
        <v>1010</v>
      </c>
      <c r="K23" s="192" t="s">
        <v>943</v>
      </c>
      <c r="L23" s="193">
        <v>1</v>
      </c>
      <c r="M23" s="194" t="s">
        <v>944</v>
      </c>
      <c r="N23" s="216"/>
      <c r="O23" s="216"/>
    </row>
    <row r="24" spans="1:16" hidden="1">
      <c r="A24" s="186"/>
      <c r="B24" s="187">
        <v>12</v>
      </c>
      <c r="C24" s="188">
        <v>8200210962</v>
      </c>
      <c r="D24" s="188" t="s">
        <v>1011</v>
      </c>
      <c r="E24" s="189" t="s">
        <v>1012</v>
      </c>
      <c r="F24" s="187">
        <v>2</v>
      </c>
      <c r="G24" s="190" t="s">
        <v>939</v>
      </c>
      <c r="H24" s="189" t="s">
        <v>940</v>
      </c>
      <c r="I24" s="188" t="s">
        <v>1013</v>
      </c>
      <c r="J24" s="189" t="s">
        <v>982</v>
      </c>
      <c r="K24" s="192" t="s">
        <v>943</v>
      </c>
      <c r="L24" s="193">
        <v>1</v>
      </c>
      <c r="M24" s="194" t="s">
        <v>944</v>
      </c>
      <c r="N24" s="216"/>
      <c r="O24" s="216"/>
    </row>
    <row r="25" spans="1:16" hidden="1">
      <c r="A25" s="186"/>
      <c r="B25" s="187">
        <v>12</v>
      </c>
      <c r="C25" s="188" t="s">
        <v>1014</v>
      </c>
      <c r="D25" s="188" t="s">
        <v>1015</v>
      </c>
      <c r="E25" s="189" t="s">
        <v>1016</v>
      </c>
      <c r="F25" s="187">
        <v>1</v>
      </c>
      <c r="G25" s="190" t="s">
        <v>939</v>
      </c>
      <c r="H25" s="189" t="s">
        <v>940</v>
      </c>
      <c r="I25" s="188" t="s">
        <v>684</v>
      </c>
      <c r="J25" s="189" t="s">
        <v>982</v>
      </c>
      <c r="K25" s="192" t="s">
        <v>943</v>
      </c>
      <c r="L25" s="193">
        <v>1</v>
      </c>
      <c r="M25" s="194" t="s">
        <v>944</v>
      </c>
      <c r="N25" s="216"/>
      <c r="O25" s="216"/>
    </row>
    <row r="26" spans="1:16">
      <c r="A26" s="195"/>
      <c r="B26" s="187">
        <v>12</v>
      </c>
      <c r="C26" s="189" t="s">
        <v>519</v>
      </c>
      <c r="D26" s="189" t="s">
        <v>520</v>
      </c>
      <c r="E26" s="189" t="s">
        <v>1017</v>
      </c>
      <c r="F26" s="187">
        <v>3</v>
      </c>
      <c r="G26" s="190" t="s">
        <v>939</v>
      </c>
      <c r="H26" s="189" t="s">
        <v>940</v>
      </c>
      <c r="I26" s="189" t="s">
        <v>876</v>
      </c>
      <c r="J26" s="189" t="s">
        <v>942</v>
      </c>
      <c r="K26" s="192" t="s">
        <v>943</v>
      </c>
      <c r="L26" s="193">
        <v>1</v>
      </c>
      <c r="M26" s="194" t="s">
        <v>1000</v>
      </c>
      <c r="N26" s="216">
        <f>VLOOKUP(C26,tableau_gfe12!$P$2:$AB$401,8,FALSE)</f>
        <v>3</v>
      </c>
      <c r="O26" s="216">
        <f>VLOOKUP(C26,tableau_gfe12!$P$2:$AB$401,12,FALSE)</f>
        <v>0.66</v>
      </c>
      <c r="P26" t="str">
        <f>VLOOKUP(C26,'[1]LPI Ariel'!$B$3:$G$72,6,FALSE)</f>
        <v>OK</v>
      </c>
    </row>
    <row r="27" spans="1:16">
      <c r="A27" s="195"/>
      <c r="B27" s="187">
        <v>12</v>
      </c>
      <c r="C27" s="189" t="s">
        <v>587</v>
      </c>
      <c r="D27" s="189" t="s">
        <v>588</v>
      </c>
      <c r="E27" s="189" t="s">
        <v>1018</v>
      </c>
      <c r="F27" s="187">
        <v>1</v>
      </c>
      <c r="G27" s="190" t="s">
        <v>939</v>
      </c>
      <c r="H27" s="189" t="s">
        <v>940</v>
      </c>
      <c r="I27" s="189" t="s">
        <v>878</v>
      </c>
      <c r="J27" s="189" t="s">
        <v>942</v>
      </c>
      <c r="K27" s="192" t="s">
        <v>943</v>
      </c>
      <c r="L27" s="193">
        <v>1</v>
      </c>
      <c r="M27" s="194" t="s">
        <v>1000</v>
      </c>
      <c r="N27" s="216">
        <f>VLOOKUP(C27,tableau_gfe12!$P$2:$AB$401,8,FALSE)</f>
        <v>1</v>
      </c>
      <c r="O27" s="216">
        <f>VLOOKUP(C27,tableau_gfe12!$P$2:$AB$401,12,FALSE)</f>
        <v>0</v>
      </c>
      <c r="P27" t="str">
        <f>VLOOKUP(C27,'[1]LPI Ariel'!$B$3:$G$72,6,FALSE)</f>
        <v>OK</v>
      </c>
    </row>
    <row r="28" spans="1:16">
      <c r="A28" s="195"/>
      <c r="B28" s="187">
        <v>12</v>
      </c>
      <c r="C28" s="189" t="s">
        <v>341</v>
      </c>
      <c r="D28" s="189" t="s">
        <v>342</v>
      </c>
      <c r="E28" s="189" t="s">
        <v>1019</v>
      </c>
      <c r="F28" s="187">
        <v>1</v>
      </c>
      <c r="G28" s="190" t="s">
        <v>939</v>
      </c>
      <c r="H28" s="189" t="s">
        <v>940</v>
      </c>
      <c r="I28" s="188" t="s">
        <v>963</v>
      </c>
      <c r="J28" s="189" t="s">
        <v>942</v>
      </c>
      <c r="K28" s="192" t="s">
        <v>943</v>
      </c>
      <c r="L28" s="193">
        <v>1</v>
      </c>
      <c r="M28" s="194" t="s">
        <v>1000</v>
      </c>
      <c r="N28" s="216">
        <f>VLOOKUP(C28,tableau_gfe12!$P$2:$AB$401,8,FALSE)</f>
        <v>1</v>
      </c>
      <c r="O28" s="216">
        <f>VLOOKUP(C28,tableau_gfe12!$P$2:$AB$401,12,FALSE)</f>
        <v>0.89600000000000002</v>
      </c>
      <c r="P28" t="str">
        <f>VLOOKUP(C28,'[1]LPI Ariel'!$B$3:$G$72,6,FALSE)</f>
        <v>OK</v>
      </c>
    </row>
    <row r="29" spans="1:16">
      <c r="A29" s="195"/>
      <c r="B29" s="187">
        <v>12</v>
      </c>
      <c r="C29" s="189" t="s">
        <v>531</v>
      </c>
      <c r="D29" s="189" t="s">
        <v>532</v>
      </c>
      <c r="E29" s="189" t="s">
        <v>1020</v>
      </c>
      <c r="F29" s="187">
        <v>1</v>
      </c>
      <c r="G29" s="190" t="s">
        <v>939</v>
      </c>
      <c r="H29" s="189" t="s">
        <v>940</v>
      </c>
      <c r="I29" s="188" t="s">
        <v>963</v>
      </c>
      <c r="J29" s="189" t="s">
        <v>942</v>
      </c>
      <c r="K29" s="192" t="s">
        <v>943</v>
      </c>
      <c r="L29" s="193">
        <v>1</v>
      </c>
      <c r="M29" s="194" t="s">
        <v>1000</v>
      </c>
      <c r="N29" s="216">
        <f>VLOOKUP(C29,tableau_gfe12!$P$2:$AB$401,8,FALSE)</f>
        <v>1</v>
      </c>
      <c r="O29" s="216">
        <f>VLOOKUP(C29,tableau_gfe12!$P$2:$AB$401,12,FALSE)</f>
        <v>2.819</v>
      </c>
      <c r="P29" t="str">
        <f>VLOOKUP(C29,'[1]LPI Ariel'!$B$3:$G$72,6,FALSE)</f>
        <v>OK</v>
      </c>
    </row>
    <row r="30" spans="1:16">
      <c r="A30" s="195"/>
      <c r="B30" s="187">
        <v>12</v>
      </c>
      <c r="C30" s="189" t="s">
        <v>259</v>
      </c>
      <c r="D30" s="189" t="s">
        <v>260</v>
      </c>
      <c r="E30" s="189" t="s">
        <v>1021</v>
      </c>
      <c r="F30" s="187">
        <v>1</v>
      </c>
      <c r="G30" s="190" t="s">
        <v>939</v>
      </c>
      <c r="H30" s="189" t="s">
        <v>940</v>
      </c>
      <c r="I30" s="189" t="s">
        <v>880</v>
      </c>
      <c r="J30" s="189" t="s">
        <v>1022</v>
      </c>
      <c r="K30" s="192" t="s">
        <v>943</v>
      </c>
      <c r="L30" s="193">
        <v>1</v>
      </c>
      <c r="M30" s="194" t="s">
        <v>1000</v>
      </c>
      <c r="N30" s="216">
        <f>VLOOKUP(C30,tableau_gfe12!$P$2:$AB$401,8,FALSE)</f>
        <v>1</v>
      </c>
      <c r="O30" s="216">
        <f>VLOOKUP(C30,tableau_gfe12!$P$2:$AB$401,12,FALSE)</f>
        <v>0</v>
      </c>
      <c r="P30" t="str">
        <f>VLOOKUP(C30,'[1]LPI Ariel'!$B$3:$G$72,6,FALSE)</f>
        <v>OK</v>
      </c>
    </row>
    <row r="31" spans="1:16">
      <c r="A31" s="195"/>
      <c r="B31" s="187">
        <v>12</v>
      </c>
      <c r="C31" s="189" t="s">
        <v>412</v>
      </c>
      <c r="D31" s="189" t="s">
        <v>413</v>
      </c>
      <c r="E31" s="189" t="s">
        <v>730</v>
      </c>
      <c r="F31" s="187">
        <v>1</v>
      </c>
      <c r="G31" s="190" t="s">
        <v>939</v>
      </c>
      <c r="H31" s="189" t="s">
        <v>940</v>
      </c>
      <c r="I31" s="189" t="s">
        <v>880</v>
      </c>
      <c r="J31" s="189" t="s">
        <v>1022</v>
      </c>
      <c r="K31" s="194" t="s">
        <v>1023</v>
      </c>
      <c r="L31" s="196">
        <v>0.77</v>
      </c>
      <c r="M31" s="194" t="s">
        <v>1000</v>
      </c>
      <c r="N31" s="216">
        <f>VLOOKUP(C31,tableau_gfe12!$P$2:$AB$401,8,FALSE)</f>
        <v>1</v>
      </c>
      <c r="O31" s="216">
        <f>VLOOKUP(C31,tableau_gfe12!$P$2:$AB$401,12,FALSE)</f>
        <v>0</v>
      </c>
      <c r="P31" t="str">
        <f>VLOOKUP(C31,'[1]LPI Ariel'!$B$3:$G$72,6,FALSE)</f>
        <v>OK</v>
      </c>
    </row>
    <row r="32" spans="1:16">
      <c r="A32" s="195"/>
      <c r="B32" s="187">
        <v>12</v>
      </c>
      <c r="C32" s="189" t="s">
        <v>151</v>
      </c>
      <c r="D32" s="189" t="s">
        <v>126</v>
      </c>
      <c r="E32" s="189" t="s">
        <v>1024</v>
      </c>
      <c r="F32" s="187">
        <v>1</v>
      </c>
      <c r="G32" s="190" t="s">
        <v>939</v>
      </c>
      <c r="H32" s="189" t="s">
        <v>940</v>
      </c>
      <c r="I32" s="189" t="s">
        <v>880</v>
      </c>
      <c r="J32" s="189" t="s">
        <v>1022</v>
      </c>
      <c r="K32" s="194" t="s">
        <v>1023</v>
      </c>
      <c r="L32" s="196">
        <v>0.77</v>
      </c>
      <c r="M32" s="194" t="s">
        <v>1000</v>
      </c>
      <c r="N32" s="216">
        <f>VLOOKUP(C32,tableau_gfe12!$P$2:$AB$401,8,FALSE)</f>
        <v>1</v>
      </c>
      <c r="O32" s="216">
        <f>VLOOKUP(C32,tableau_gfe12!$P$2:$AB$401,12,FALSE)</f>
        <v>0</v>
      </c>
      <c r="P32" t="str">
        <f>VLOOKUP(C32,'[1]LPI Ariel'!$B$3:$G$72,6,FALSE)</f>
        <v>OK</v>
      </c>
    </row>
    <row r="33" spans="1:16">
      <c r="A33" s="195"/>
      <c r="B33" s="187">
        <v>12</v>
      </c>
      <c r="C33" s="189" t="s">
        <v>165</v>
      </c>
      <c r="D33" s="189" t="s">
        <v>166</v>
      </c>
      <c r="E33" s="189" t="s">
        <v>1025</v>
      </c>
      <c r="F33" s="187">
        <v>1</v>
      </c>
      <c r="G33" s="190" t="s">
        <v>939</v>
      </c>
      <c r="H33" s="189" t="s">
        <v>940</v>
      </c>
      <c r="I33" s="189" t="s">
        <v>880</v>
      </c>
      <c r="J33" s="189" t="s">
        <v>1022</v>
      </c>
      <c r="K33" s="192" t="s">
        <v>943</v>
      </c>
      <c r="L33" s="193">
        <v>1</v>
      </c>
      <c r="M33" s="194" t="s">
        <v>1000</v>
      </c>
      <c r="N33" s="216">
        <f>VLOOKUP(C33,tableau_gfe12!$P$2:$AB$401,8,FALSE)</f>
        <v>1</v>
      </c>
      <c r="O33" s="216">
        <f>VLOOKUP(C33,tableau_gfe12!$P$2:$AB$401,12,FALSE)</f>
        <v>5.8999999999999997E-2</v>
      </c>
      <c r="P33" t="str">
        <f>VLOOKUP(C33,'[1]LPI Ariel'!$B$3:$G$72,6,FALSE)</f>
        <v>OK</v>
      </c>
    </row>
    <row r="34" spans="1:16">
      <c r="A34" s="195"/>
      <c r="B34" s="187">
        <v>12</v>
      </c>
      <c r="C34" s="189" t="s">
        <v>167</v>
      </c>
      <c r="D34" s="189" t="s">
        <v>166</v>
      </c>
      <c r="E34" s="189" t="s">
        <v>1025</v>
      </c>
      <c r="F34" s="187">
        <v>1</v>
      </c>
      <c r="G34" s="190" t="s">
        <v>939</v>
      </c>
      <c r="H34" s="189" t="s">
        <v>940</v>
      </c>
      <c r="I34" s="189" t="s">
        <v>880</v>
      </c>
      <c r="J34" s="189" t="s">
        <v>1022</v>
      </c>
      <c r="K34" s="192" t="s">
        <v>943</v>
      </c>
      <c r="L34" s="193">
        <v>1</v>
      </c>
      <c r="M34" s="194" t="s">
        <v>1000</v>
      </c>
      <c r="N34" s="216">
        <f>VLOOKUP(C34,tableau_gfe12!$P$2:$AB$401,8,FALSE)</f>
        <v>1</v>
      </c>
      <c r="O34" s="216">
        <f>VLOOKUP(C34,tableau_gfe12!$P$2:$AB$401,12,FALSE)</f>
        <v>0.04</v>
      </c>
      <c r="P34" t="str">
        <f>VLOOKUP(C34,'[1]LPI Ariel'!$B$3:$G$72,6,FALSE)</f>
        <v>OK</v>
      </c>
    </row>
    <row r="35" spans="1:16">
      <c r="A35" s="195"/>
      <c r="B35" s="187">
        <v>12</v>
      </c>
      <c r="C35" s="189" t="s">
        <v>398</v>
      </c>
      <c r="D35" s="189" t="s">
        <v>399</v>
      </c>
      <c r="E35" s="189" t="s">
        <v>1026</v>
      </c>
      <c r="F35" s="187">
        <v>1</v>
      </c>
      <c r="G35" s="190" t="s">
        <v>939</v>
      </c>
      <c r="H35" s="189" t="s">
        <v>940</v>
      </c>
      <c r="I35" s="189" t="s">
        <v>880</v>
      </c>
      <c r="J35" s="189" t="s">
        <v>1022</v>
      </c>
      <c r="K35" s="194" t="s">
        <v>1023</v>
      </c>
      <c r="L35" s="196">
        <v>0.77</v>
      </c>
      <c r="M35" s="194" t="s">
        <v>1000</v>
      </c>
      <c r="N35" s="216">
        <f>VLOOKUP(C35,tableau_gfe12!$P$2:$AB$401,8,FALSE)</f>
        <v>1</v>
      </c>
      <c r="O35" s="216">
        <f>VLOOKUP(C35,tableau_gfe12!$P$2:$AB$401,12,FALSE)</f>
        <v>0</v>
      </c>
      <c r="P35" t="str">
        <f>VLOOKUP(C35,'[1]LPI Ariel'!$B$3:$G$72,6,FALSE)</f>
        <v>OK</v>
      </c>
    </row>
    <row r="36" spans="1:16">
      <c r="A36" s="195"/>
      <c r="B36" s="187">
        <v>12</v>
      </c>
      <c r="C36" s="189" t="s">
        <v>168</v>
      </c>
      <c r="D36" s="189" t="s">
        <v>169</v>
      </c>
      <c r="E36" s="189" t="s">
        <v>1027</v>
      </c>
      <c r="F36" s="187">
        <v>1</v>
      </c>
      <c r="G36" s="190" t="s">
        <v>939</v>
      </c>
      <c r="H36" s="189" t="s">
        <v>940</v>
      </c>
      <c r="I36" s="189" t="s">
        <v>880</v>
      </c>
      <c r="J36" s="189" t="s">
        <v>1022</v>
      </c>
      <c r="K36" s="192" t="s">
        <v>943</v>
      </c>
      <c r="L36" s="193">
        <v>1</v>
      </c>
      <c r="M36" s="194" t="s">
        <v>1000</v>
      </c>
      <c r="N36" s="216">
        <f>VLOOKUP(C36,tableau_gfe12!$P$2:$AB$401,8,FALSE)</f>
        <v>1</v>
      </c>
      <c r="O36" s="216">
        <f>VLOOKUP(C36,tableau_gfe12!$P$2:$AB$401,12,FALSE)</f>
        <v>0.14000000000000001</v>
      </c>
      <c r="P36" t="str">
        <f>VLOOKUP(C36,'[1]LPI Ariel'!$B$3:$G$72,6,FALSE)</f>
        <v>OK</v>
      </c>
    </row>
    <row r="37" spans="1:16">
      <c r="A37" s="195"/>
      <c r="B37" s="187">
        <v>12</v>
      </c>
      <c r="C37" s="189" t="s">
        <v>219</v>
      </c>
      <c r="D37" s="189" t="s">
        <v>220</v>
      </c>
      <c r="E37" s="189" t="s">
        <v>1028</v>
      </c>
      <c r="F37" s="187">
        <v>1</v>
      </c>
      <c r="G37" s="190" t="s">
        <v>939</v>
      </c>
      <c r="H37" s="189" t="s">
        <v>940</v>
      </c>
      <c r="I37" s="189" t="s">
        <v>880</v>
      </c>
      <c r="J37" s="189" t="s">
        <v>1022</v>
      </c>
      <c r="K37" s="192" t="s">
        <v>943</v>
      </c>
      <c r="L37" s="193">
        <v>1</v>
      </c>
      <c r="M37" s="194" t="s">
        <v>1000</v>
      </c>
      <c r="N37" s="216">
        <f>VLOOKUP(C37,tableau_gfe12!$P$2:$AB$401,8,FALSE)</f>
        <v>1</v>
      </c>
      <c r="O37" s="216">
        <f>VLOOKUP(C37,tableau_gfe12!$P$2:$AB$401,12,FALSE)</f>
        <v>0.14000000000000001</v>
      </c>
      <c r="P37" t="str">
        <f>VLOOKUP(C37,'[1]LPI Ariel'!$B$3:$G$72,6,FALSE)</f>
        <v>OK</v>
      </c>
    </row>
    <row r="38" spans="1:16">
      <c r="A38" s="195"/>
      <c r="B38" s="187">
        <v>12</v>
      </c>
      <c r="C38" s="189" t="s">
        <v>517</v>
      </c>
      <c r="D38" s="189" t="s">
        <v>518</v>
      </c>
      <c r="E38" s="189" t="s">
        <v>1029</v>
      </c>
      <c r="F38" s="187">
        <v>1</v>
      </c>
      <c r="G38" s="190" t="s">
        <v>939</v>
      </c>
      <c r="H38" s="189" t="s">
        <v>940</v>
      </c>
      <c r="I38" s="189" t="s">
        <v>882</v>
      </c>
      <c r="J38" s="189" t="s">
        <v>1030</v>
      </c>
      <c r="K38" s="192" t="s">
        <v>943</v>
      </c>
      <c r="L38" s="193">
        <v>1</v>
      </c>
      <c r="M38" s="194" t="s">
        <v>1000</v>
      </c>
      <c r="N38" s="216">
        <f>VLOOKUP(C38,tableau_gfe12!$P$2:$AB$401,8,FALSE)</f>
        <v>1</v>
      </c>
      <c r="O38" s="216">
        <f>VLOOKUP(C38,tableau_gfe12!$P$2:$AB$401,12,FALSE)</f>
        <v>0.46</v>
      </c>
      <c r="P38" t="str">
        <f>VLOOKUP(C38,'[1]LPI Ariel'!$B$3:$G$72,6,FALSE)</f>
        <v>OK</v>
      </c>
    </row>
    <row r="39" spans="1:16">
      <c r="A39" s="195"/>
      <c r="B39" s="187">
        <v>12</v>
      </c>
      <c r="C39" s="189" t="s">
        <v>514</v>
      </c>
      <c r="D39" s="189" t="s">
        <v>512</v>
      </c>
      <c r="E39" s="189" t="s">
        <v>1031</v>
      </c>
      <c r="F39" s="187">
        <v>1</v>
      </c>
      <c r="G39" s="190" t="s">
        <v>939</v>
      </c>
      <c r="H39" s="189" t="s">
        <v>940</v>
      </c>
      <c r="I39" s="189" t="s">
        <v>882</v>
      </c>
      <c r="J39" s="189" t="s">
        <v>1030</v>
      </c>
      <c r="K39" s="192" t="s">
        <v>943</v>
      </c>
      <c r="L39" s="193">
        <v>1</v>
      </c>
      <c r="M39" s="194" t="s">
        <v>1000</v>
      </c>
      <c r="N39" s="216">
        <f>VLOOKUP(C39,tableau_gfe12!$P$2:$AB$401,8,FALSE)</f>
        <v>1</v>
      </c>
      <c r="O39" s="216">
        <f>VLOOKUP(C39,tableau_gfe12!$P$2:$AB$401,12,FALSE)</f>
        <v>0.34</v>
      </c>
      <c r="P39" t="str">
        <f>VLOOKUP(C39,'[1]LPI Ariel'!$B$3:$G$72,6,FALSE)</f>
        <v>OK</v>
      </c>
    </row>
    <row r="40" spans="1:16">
      <c r="A40" s="195"/>
      <c r="B40" s="187">
        <v>12</v>
      </c>
      <c r="C40" s="189" t="s">
        <v>511</v>
      </c>
      <c r="D40" s="189" t="s">
        <v>512</v>
      </c>
      <c r="E40" s="189" t="s">
        <v>1031</v>
      </c>
      <c r="F40" s="187">
        <v>1</v>
      </c>
      <c r="G40" s="190" t="s">
        <v>939</v>
      </c>
      <c r="H40" s="189" t="s">
        <v>940</v>
      </c>
      <c r="I40" s="189" t="s">
        <v>882</v>
      </c>
      <c r="J40" s="189" t="s">
        <v>1030</v>
      </c>
      <c r="K40" s="192" t="s">
        <v>943</v>
      </c>
      <c r="L40" s="193">
        <v>1</v>
      </c>
      <c r="M40" s="194" t="s">
        <v>1000</v>
      </c>
      <c r="N40" s="216">
        <f>VLOOKUP(C40,tableau_gfe12!$P$2:$AB$401,8,FALSE)</f>
        <v>1</v>
      </c>
      <c r="O40" s="216">
        <f>VLOOKUP(C40,tableau_gfe12!$P$2:$AB$401,12,FALSE)</f>
        <v>0.32</v>
      </c>
      <c r="P40" t="str">
        <f>VLOOKUP(C40,'[1]LPI Ariel'!$B$3:$G$72,6,FALSE)</f>
        <v>OK</v>
      </c>
    </row>
    <row r="41" spans="1:16">
      <c r="A41" s="195"/>
      <c r="B41" s="187">
        <v>12</v>
      </c>
      <c r="C41" s="189" t="s">
        <v>223</v>
      </c>
      <c r="D41" s="189" t="s">
        <v>224</v>
      </c>
      <c r="E41" s="189" t="s">
        <v>1032</v>
      </c>
      <c r="F41" s="187">
        <v>1</v>
      </c>
      <c r="G41" s="190" t="s">
        <v>939</v>
      </c>
      <c r="H41" s="189" t="s">
        <v>940</v>
      </c>
      <c r="I41" s="189" t="s">
        <v>884</v>
      </c>
      <c r="J41" s="189" t="s">
        <v>1033</v>
      </c>
      <c r="K41" s="192" t="s">
        <v>943</v>
      </c>
      <c r="L41" s="193">
        <v>1</v>
      </c>
      <c r="M41" s="194" t="s">
        <v>1000</v>
      </c>
      <c r="N41" s="216">
        <f>VLOOKUP(C41,tableau_gfe12!$P$2:$AB$401,8,FALSE)</f>
        <v>1</v>
      </c>
      <c r="O41" s="216">
        <f>VLOOKUP(C41,tableau_gfe12!$P$2:$AB$401,12,FALSE)</f>
        <v>0</v>
      </c>
      <c r="P41" t="str">
        <f>VLOOKUP(C41,'[1]LPI Ariel'!$B$3:$G$72,6,FALSE)</f>
        <v>OK</v>
      </c>
    </row>
    <row r="42" spans="1:16">
      <c r="A42" s="195"/>
      <c r="B42" s="187">
        <v>12</v>
      </c>
      <c r="C42" s="189" t="s">
        <v>175</v>
      </c>
      <c r="D42" s="189" t="s">
        <v>176</v>
      </c>
      <c r="E42" s="189" t="s">
        <v>1034</v>
      </c>
      <c r="F42" s="187">
        <v>1</v>
      </c>
      <c r="G42" s="190" t="s">
        <v>939</v>
      </c>
      <c r="H42" s="189" t="s">
        <v>940</v>
      </c>
      <c r="I42" s="189" t="s">
        <v>884</v>
      </c>
      <c r="J42" s="189" t="s">
        <v>1033</v>
      </c>
      <c r="K42" s="192" t="s">
        <v>943</v>
      </c>
      <c r="L42" s="193">
        <v>1</v>
      </c>
      <c r="M42" s="194" t="s">
        <v>1000</v>
      </c>
      <c r="N42" s="216">
        <f>VLOOKUP(C42,tableau_gfe12!$P$2:$AB$401,8,FALSE)</f>
        <v>1</v>
      </c>
      <c r="O42" s="216">
        <f>VLOOKUP(C42,tableau_gfe12!$P$2:$AB$401,12,FALSE)</f>
        <v>0</v>
      </c>
      <c r="P42" t="str">
        <f>VLOOKUP(C42,'[1]LPI Ariel'!$B$3:$G$72,6,FALSE)</f>
        <v>OK</v>
      </c>
    </row>
    <row r="43" spans="1:16">
      <c r="A43" s="195"/>
      <c r="B43" s="187">
        <v>12</v>
      </c>
      <c r="C43" s="189" t="s">
        <v>192</v>
      </c>
      <c r="D43" s="189" t="s">
        <v>193</v>
      </c>
      <c r="E43" s="189" t="s">
        <v>1035</v>
      </c>
      <c r="F43" s="187">
        <v>1</v>
      </c>
      <c r="G43" s="190" t="s">
        <v>939</v>
      </c>
      <c r="H43" s="189" t="s">
        <v>940</v>
      </c>
      <c r="I43" s="189" t="s">
        <v>884</v>
      </c>
      <c r="J43" s="189" t="s">
        <v>1033</v>
      </c>
      <c r="K43" s="192" t="s">
        <v>943</v>
      </c>
      <c r="L43" s="193">
        <v>1</v>
      </c>
      <c r="M43" s="194" t="s">
        <v>1000</v>
      </c>
      <c r="N43" s="216">
        <f>VLOOKUP(C43,tableau_gfe12!$P$2:$AB$401,8,FALSE)</f>
        <v>1</v>
      </c>
      <c r="O43" s="216">
        <f>VLOOKUP(C43,tableau_gfe12!$P$2:$AB$401,12,FALSE)</f>
        <v>9.0999999999999998E-2</v>
      </c>
      <c r="P43" t="str">
        <f>VLOOKUP(C43,'[1]LPI Ariel'!$B$3:$G$72,6,FALSE)</f>
        <v>OK</v>
      </c>
    </row>
    <row r="44" spans="1:16">
      <c r="A44" s="195"/>
      <c r="B44" s="187">
        <v>12</v>
      </c>
      <c r="C44" s="189" t="s">
        <v>234</v>
      </c>
      <c r="D44" s="189" t="s">
        <v>235</v>
      </c>
      <c r="E44" s="189" t="s">
        <v>1036</v>
      </c>
      <c r="F44" s="187">
        <v>1</v>
      </c>
      <c r="G44" s="190" t="s">
        <v>939</v>
      </c>
      <c r="H44" s="189" t="s">
        <v>940</v>
      </c>
      <c r="I44" s="189" t="s">
        <v>884</v>
      </c>
      <c r="J44" s="189" t="s">
        <v>1033</v>
      </c>
      <c r="K44" s="192" t="s">
        <v>943</v>
      </c>
      <c r="L44" s="193">
        <v>1</v>
      </c>
      <c r="M44" s="194" t="s">
        <v>1000</v>
      </c>
      <c r="N44" s="216">
        <f>VLOOKUP(C44,tableau_gfe12!$P$2:$AB$401,8,FALSE)</f>
        <v>1</v>
      </c>
      <c r="O44" s="216">
        <f>VLOOKUP(C44,tableau_gfe12!$P$2:$AB$401,12,FALSE)</f>
        <v>9.2999999999999999E-2</v>
      </c>
      <c r="P44" t="str">
        <f>VLOOKUP(C44,'[1]LPI Ariel'!$B$3:$G$72,6,FALSE)</f>
        <v>OK</v>
      </c>
    </row>
    <row r="45" spans="1:16">
      <c r="A45" s="195"/>
      <c r="B45" s="187">
        <v>12</v>
      </c>
      <c r="C45" s="189" t="s">
        <v>338</v>
      </c>
      <c r="D45" s="189" t="s">
        <v>339</v>
      </c>
      <c r="E45" s="189" t="s">
        <v>1019</v>
      </c>
      <c r="F45" s="187">
        <v>1</v>
      </c>
      <c r="G45" s="190" t="s">
        <v>939</v>
      </c>
      <c r="H45" s="189" t="s">
        <v>940</v>
      </c>
      <c r="I45" s="189" t="s">
        <v>891</v>
      </c>
      <c r="J45" s="189" t="s">
        <v>1033</v>
      </c>
      <c r="K45" s="192" t="s">
        <v>943</v>
      </c>
      <c r="L45" s="193">
        <v>1</v>
      </c>
      <c r="M45" s="194" t="s">
        <v>1000</v>
      </c>
      <c r="N45" s="216">
        <f>VLOOKUP(C45,tableau_gfe12!$P$2:$AB$401,8,FALSE)</f>
        <v>1</v>
      </c>
      <c r="O45" s="216">
        <f>VLOOKUP(C45,tableau_gfe12!$P$2:$AB$401,12,FALSE)</f>
        <v>0.3</v>
      </c>
      <c r="P45" t="str">
        <f>VLOOKUP(C45,'[1]LPI Ariel'!$B$3:$G$72,6,FALSE)</f>
        <v>OK</v>
      </c>
    </row>
    <row r="46" spans="1:16">
      <c r="A46" s="195"/>
      <c r="B46" s="187">
        <v>12</v>
      </c>
      <c r="C46" s="189" t="s">
        <v>423</v>
      </c>
      <c r="D46" s="189" t="s">
        <v>424</v>
      </c>
      <c r="E46" s="189" t="s">
        <v>730</v>
      </c>
      <c r="F46" s="187">
        <v>1</v>
      </c>
      <c r="G46" s="190" t="s">
        <v>939</v>
      </c>
      <c r="H46" s="189" t="s">
        <v>940</v>
      </c>
      <c r="I46" s="189" t="s">
        <v>884</v>
      </c>
      <c r="J46" s="189" t="s">
        <v>1033</v>
      </c>
      <c r="K46" s="194" t="s">
        <v>1037</v>
      </c>
      <c r="L46" s="196">
        <v>0.24</v>
      </c>
      <c r="M46" s="194" t="s">
        <v>1000</v>
      </c>
      <c r="N46" s="216">
        <f>VLOOKUP(C46,tableau_gfe12!$P$2:$AB$401,8,FALSE)</f>
        <v>1</v>
      </c>
      <c r="O46" s="216">
        <f>VLOOKUP(C46,tableau_gfe12!$P$2:$AB$401,12,FALSE)</f>
        <v>0</v>
      </c>
      <c r="P46" t="str">
        <f>VLOOKUP(C46,'[1]LPI Ariel'!$B$3:$G$72,6,FALSE)</f>
        <v>OK</v>
      </c>
    </row>
    <row r="47" spans="1:16">
      <c r="A47" s="195"/>
      <c r="B47" s="187">
        <v>12</v>
      </c>
      <c r="C47" s="189" t="s">
        <v>420</v>
      </c>
      <c r="D47" s="189" t="s">
        <v>421</v>
      </c>
      <c r="E47" s="189" t="s">
        <v>730</v>
      </c>
      <c r="F47" s="187">
        <v>1</v>
      </c>
      <c r="G47" s="190" t="s">
        <v>939</v>
      </c>
      <c r="H47" s="189" t="s">
        <v>940</v>
      </c>
      <c r="I47" s="189" t="s">
        <v>884</v>
      </c>
      <c r="J47" s="189" t="s">
        <v>1033</v>
      </c>
      <c r="K47" s="194" t="s">
        <v>1037</v>
      </c>
      <c r="L47" s="196">
        <v>0.24</v>
      </c>
      <c r="M47" s="194" t="s">
        <v>1000</v>
      </c>
      <c r="N47" s="216">
        <f>VLOOKUP(C47,tableau_gfe12!$P$2:$AB$401,8,FALSE)</f>
        <v>1</v>
      </c>
      <c r="O47" s="216">
        <f>VLOOKUP(C47,tableau_gfe12!$P$2:$AB$401,12,FALSE)</f>
        <v>0</v>
      </c>
      <c r="P47" t="str">
        <f>VLOOKUP(C47,'[1]LPI Ariel'!$B$3:$G$72,6,FALSE)</f>
        <v>OK</v>
      </c>
    </row>
    <row r="48" spans="1:16">
      <c r="A48" s="195"/>
      <c r="B48" s="187">
        <v>12</v>
      </c>
      <c r="C48" s="189" t="s">
        <v>190</v>
      </c>
      <c r="D48" s="189" t="s">
        <v>191</v>
      </c>
      <c r="E48" s="189" t="s">
        <v>1038</v>
      </c>
      <c r="F48" s="187">
        <v>1</v>
      </c>
      <c r="G48" s="190" t="s">
        <v>939</v>
      </c>
      <c r="H48" s="189" t="s">
        <v>940</v>
      </c>
      <c r="I48" s="189" t="s">
        <v>884</v>
      </c>
      <c r="J48" s="189" t="s">
        <v>1033</v>
      </c>
      <c r="K48" s="192" t="s">
        <v>943</v>
      </c>
      <c r="L48" s="193">
        <v>1</v>
      </c>
      <c r="M48" s="194" t="s">
        <v>1000</v>
      </c>
      <c r="N48" s="216">
        <f>VLOOKUP(C48,tableau_gfe12!$P$2:$AB$401,8,FALSE)</f>
        <v>1</v>
      </c>
      <c r="O48" s="216">
        <f>VLOOKUP(C48,tableau_gfe12!$P$2:$AB$401,12,FALSE)</f>
        <v>0.54600000000000004</v>
      </c>
      <c r="P48" t="str">
        <f>VLOOKUP(C48,'[1]LPI Ariel'!$B$3:$G$72,6,FALSE)</f>
        <v>OK</v>
      </c>
    </row>
    <row r="49" spans="1:16">
      <c r="A49" s="195"/>
      <c r="B49" s="187">
        <v>12</v>
      </c>
      <c r="C49" s="189" t="s">
        <v>564</v>
      </c>
      <c r="D49" s="189" t="s">
        <v>565</v>
      </c>
      <c r="E49" s="189" t="s">
        <v>1039</v>
      </c>
      <c r="F49" s="187">
        <v>1</v>
      </c>
      <c r="G49" s="190" t="s">
        <v>939</v>
      </c>
      <c r="H49" s="189" t="s">
        <v>940</v>
      </c>
      <c r="I49" s="189" t="s">
        <v>891</v>
      </c>
      <c r="J49" s="189" t="s">
        <v>1033</v>
      </c>
      <c r="K49" s="192" t="s">
        <v>943</v>
      </c>
      <c r="L49" s="193">
        <v>1</v>
      </c>
      <c r="M49" s="194" t="s">
        <v>1000</v>
      </c>
      <c r="N49" s="216">
        <f>VLOOKUP(C49,tableau_gfe12!$P$2:$AB$401,8,FALSE)</f>
        <v>1</v>
      </c>
      <c r="O49" s="216">
        <f>VLOOKUP(C49,tableau_gfe12!$P$2:$AB$401,12,FALSE)</f>
        <v>0.6</v>
      </c>
      <c r="P49" t="str">
        <f>VLOOKUP(C49,'[1]LPI Ariel'!$B$3:$G$72,6,FALSE)</f>
        <v>OK</v>
      </c>
    </row>
    <row r="50" spans="1:16">
      <c r="A50" s="195"/>
      <c r="B50" s="187">
        <v>12</v>
      </c>
      <c r="C50" s="189" t="s">
        <v>393</v>
      </c>
      <c r="D50" s="189" t="s">
        <v>394</v>
      </c>
      <c r="E50" s="189" t="s">
        <v>1040</v>
      </c>
      <c r="F50" s="187">
        <v>1</v>
      </c>
      <c r="G50" s="190" t="s">
        <v>939</v>
      </c>
      <c r="H50" s="189" t="s">
        <v>940</v>
      </c>
      <c r="I50" s="189" t="s">
        <v>888</v>
      </c>
      <c r="J50" s="189" t="s">
        <v>1033</v>
      </c>
      <c r="K50" s="192" t="s">
        <v>943</v>
      </c>
      <c r="L50" s="193">
        <v>1</v>
      </c>
      <c r="M50" s="194" t="s">
        <v>1000</v>
      </c>
      <c r="N50" s="216">
        <f>VLOOKUP(C50,tableau_gfe12!$P$2:$AB$401,8,FALSE)</f>
        <v>1</v>
      </c>
      <c r="O50" s="216">
        <f>VLOOKUP(C50,tableau_gfe12!$P$2:$AB$401,12,FALSE)</f>
        <v>0.45</v>
      </c>
      <c r="P50" t="str">
        <f>VLOOKUP(C50,'[1]LPI Ariel'!$B$3:$G$72,6,FALSE)</f>
        <v>OK</v>
      </c>
    </row>
    <row r="51" spans="1:16">
      <c r="A51" s="195"/>
      <c r="B51" s="187">
        <v>12</v>
      </c>
      <c r="C51" s="189" t="s">
        <v>232</v>
      </c>
      <c r="D51" s="189" t="s">
        <v>233</v>
      </c>
      <c r="E51" s="189" t="s">
        <v>1041</v>
      </c>
      <c r="F51" s="187">
        <v>1</v>
      </c>
      <c r="G51" s="190" t="s">
        <v>939</v>
      </c>
      <c r="H51" s="189" t="s">
        <v>940</v>
      </c>
      <c r="I51" s="189" t="s">
        <v>884</v>
      </c>
      <c r="J51" s="189" t="s">
        <v>1033</v>
      </c>
      <c r="K51" s="192" t="s">
        <v>943</v>
      </c>
      <c r="L51" s="193">
        <v>1</v>
      </c>
      <c r="M51" s="194" t="s">
        <v>1000</v>
      </c>
      <c r="N51" s="216">
        <f>VLOOKUP(C51,tableau_gfe12!$P$2:$AB$401,8,FALSE)</f>
        <v>1</v>
      </c>
      <c r="O51" s="216">
        <f>VLOOKUP(C51,tableau_gfe12!$P$2:$AB$401,12,FALSE)</f>
        <v>0.54600000000000004</v>
      </c>
      <c r="P51" t="str">
        <f>VLOOKUP(C51,'[1]LPI Ariel'!$B$3:$G$72,6,FALSE)</f>
        <v>OK</v>
      </c>
    </row>
    <row r="52" spans="1:16">
      <c r="A52" s="195"/>
      <c r="B52" s="187">
        <v>12</v>
      </c>
      <c r="C52" s="189" t="s">
        <v>210</v>
      </c>
      <c r="D52" s="189" t="s">
        <v>211</v>
      </c>
      <c r="E52" s="189" t="s">
        <v>1042</v>
      </c>
      <c r="F52" s="187">
        <v>1</v>
      </c>
      <c r="G52" s="190" t="s">
        <v>939</v>
      </c>
      <c r="H52" s="189" t="s">
        <v>940</v>
      </c>
      <c r="I52" s="189" t="s">
        <v>888</v>
      </c>
      <c r="J52" s="189" t="s">
        <v>1033</v>
      </c>
      <c r="K52" s="192" t="s">
        <v>943</v>
      </c>
      <c r="L52" s="193">
        <v>1</v>
      </c>
      <c r="M52" s="194" t="s">
        <v>1000</v>
      </c>
      <c r="N52" s="216">
        <f>VLOOKUP(C52,tableau_gfe12!$P$2:$AB$401,8,FALSE)</f>
        <v>1</v>
      </c>
      <c r="O52" s="216">
        <f>VLOOKUP(C52,tableau_gfe12!$P$2:$AB$401,12,FALSE)</f>
        <v>0</v>
      </c>
      <c r="P52" t="str">
        <f>VLOOKUP(C52,'[1]LPI Ariel'!$B$3:$G$72,6,FALSE)</f>
        <v>OK</v>
      </c>
    </row>
    <row r="53" spans="1:16">
      <c r="A53" s="195"/>
      <c r="B53" s="187">
        <v>12</v>
      </c>
      <c r="C53" s="189" t="s">
        <v>606</v>
      </c>
      <c r="D53" s="189" t="s">
        <v>607</v>
      </c>
      <c r="E53" s="189" t="s">
        <v>1043</v>
      </c>
      <c r="F53" s="187">
        <v>1</v>
      </c>
      <c r="G53" s="190" t="s">
        <v>939</v>
      </c>
      <c r="H53" s="189" t="s">
        <v>940</v>
      </c>
      <c r="I53" s="189" t="s">
        <v>884</v>
      </c>
      <c r="J53" s="189" t="s">
        <v>1033</v>
      </c>
      <c r="K53" s="194" t="s">
        <v>1037</v>
      </c>
      <c r="L53" s="196">
        <v>0.24</v>
      </c>
      <c r="M53" s="194" t="s">
        <v>1000</v>
      </c>
      <c r="N53" s="216">
        <f>VLOOKUP(C53,tableau_gfe12!$P$2:$AB$401,8,FALSE)</f>
        <v>1</v>
      </c>
      <c r="O53" s="216">
        <f>VLOOKUP(C53,tableau_gfe12!$P$2:$AB$401,12,FALSE)</f>
        <v>0</v>
      </c>
      <c r="P53" t="str">
        <f>VLOOKUP(C53,'[1]LPI Ariel'!$B$3:$G$72,6,FALSE)</f>
        <v>OK</v>
      </c>
    </row>
    <row r="54" spans="1:16">
      <c r="A54" s="195"/>
      <c r="B54" s="187">
        <v>12</v>
      </c>
      <c r="C54" s="189" t="s">
        <v>610</v>
      </c>
      <c r="D54" s="189" t="s">
        <v>611</v>
      </c>
      <c r="E54" s="189" t="s">
        <v>1044</v>
      </c>
      <c r="F54" s="187">
        <v>1</v>
      </c>
      <c r="G54" s="190" t="s">
        <v>939</v>
      </c>
      <c r="H54" s="189" t="s">
        <v>940</v>
      </c>
      <c r="I54" s="189" t="s">
        <v>884</v>
      </c>
      <c r="J54" s="189" t="s">
        <v>1033</v>
      </c>
      <c r="K54" s="194" t="s">
        <v>1037</v>
      </c>
      <c r="L54" s="196">
        <v>0.24</v>
      </c>
      <c r="M54" s="194" t="s">
        <v>1000</v>
      </c>
      <c r="N54" s="216">
        <f>VLOOKUP(C54,tableau_gfe12!$P$2:$AB$401,8,FALSE)</f>
        <v>1</v>
      </c>
      <c r="O54" s="216">
        <f>VLOOKUP(C54,tableau_gfe12!$P$2:$AB$401,12,FALSE)</f>
        <v>0</v>
      </c>
      <c r="P54" t="str">
        <f>VLOOKUP(C54,'[1]LPI Ariel'!$B$3:$G$72,6,FALSE)</f>
        <v>OK</v>
      </c>
    </row>
    <row r="55" spans="1:16">
      <c r="A55" s="195"/>
      <c r="B55" s="187">
        <v>12</v>
      </c>
      <c r="C55" s="189" t="s">
        <v>376</v>
      </c>
      <c r="D55" s="189" t="s">
        <v>377</v>
      </c>
      <c r="E55" s="189" t="s">
        <v>1045</v>
      </c>
      <c r="F55" s="187">
        <v>1</v>
      </c>
      <c r="G55" s="190" t="s">
        <v>939</v>
      </c>
      <c r="H55" s="189" t="s">
        <v>940</v>
      </c>
      <c r="I55" s="189" t="s">
        <v>890</v>
      </c>
      <c r="J55" s="189" t="s">
        <v>1033</v>
      </c>
      <c r="K55" s="192" t="s">
        <v>943</v>
      </c>
      <c r="L55" s="193">
        <v>1</v>
      </c>
      <c r="M55" s="194" t="s">
        <v>1000</v>
      </c>
      <c r="N55" s="216">
        <f>VLOOKUP(C55,tableau_gfe12!$P$2:$AB$401,8,FALSE)</f>
        <v>1</v>
      </c>
      <c r="O55" s="216">
        <f>VLOOKUP(C55,tableau_gfe12!$P$2:$AB$401,12,FALSE)</f>
        <v>0</v>
      </c>
      <c r="P55" t="str">
        <f>VLOOKUP(C55,'[1]LPI Ariel'!$B$3:$G$72,6,FALSE)</f>
        <v>OK</v>
      </c>
    </row>
    <row r="56" spans="1:16">
      <c r="A56" s="195"/>
      <c r="B56" s="187">
        <v>12</v>
      </c>
      <c r="C56" s="189" t="s">
        <v>306</v>
      </c>
      <c r="D56" s="189" t="s">
        <v>307</v>
      </c>
      <c r="E56" s="189" t="s">
        <v>1046</v>
      </c>
      <c r="F56" s="187">
        <v>1</v>
      </c>
      <c r="G56" s="190" t="s">
        <v>939</v>
      </c>
      <c r="H56" s="189" t="s">
        <v>940</v>
      </c>
      <c r="I56" s="189" t="s">
        <v>890</v>
      </c>
      <c r="J56" s="189" t="s">
        <v>1033</v>
      </c>
      <c r="K56" s="192" t="s">
        <v>943</v>
      </c>
      <c r="L56" s="193">
        <v>1</v>
      </c>
      <c r="M56" s="194" t="s">
        <v>1000</v>
      </c>
      <c r="N56" s="216">
        <f>VLOOKUP(C56,tableau_gfe12!$P$2:$AB$401,8,FALSE)</f>
        <v>1</v>
      </c>
      <c r="O56" s="216">
        <f>VLOOKUP(C56,tableau_gfe12!$P$2:$AB$401,12,FALSE)</f>
        <v>0</v>
      </c>
      <c r="P56" t="str">
        <f>VLOOKUP(C56,'[1]LPI Ariel'!$B$3:$G$72,6,FALSE)</f>
        <v>OK</v>
      </c>
    </row>
    <row r="57" spans="1:16">
      <c r="A57" s="195"/>
      <c r="B57" s="187">
        <v>12</v>
      </c>
      <c r="C57" s="189" t="s">
        <v>71</v>
      </c>
      <c r="D57" s="189" t="s">
        <v>72</v>
      </c>
      <c r="E57" s="189" t="s">
        <v>1047</v>
      </c>
      <c r="F57" s="187">
        <v>1</v>
      </c>
      <c r="G57" s="190" t="s">
        <v>939</v>
      </c>
      <c r="H57" s="189" t="s">
        <v>940</v>
      </c>
      <c r="I57" s="189" t="s">
        <v>891</v>
      </c>
      <c r="J57" s="189" t="s">
        <v>1033</v>
      </c>
      <c r="K57" s="192" t="s">
        <v>943</v>
      </c>
      <c r="L57" s="193">
        <v>1</v>
      </c>
      <c r="M57" s="194" t="s">
        <v>1000</v>
      </c>
      <c r="N57" s="216">
        <f>VLOOKUP(C57,tableau_gfe12!$P$2:$AB$401,8,FALSE)</f>
        <v>1</v>
      </c>
      <c r="O57" s="216">
        <f>VLOOKUP(C57,tableau_gfe12!$P$2:$AB$401,12,FALSE)</f>
        <v>0</v>
      </c>
      <c r="P57" t="str">
        <f>VLOOKUP(C57,'[1]LPI Ariel'!$B$3:$G$72,6,FALSE)</f>
        <v>OK</v>
      </c>
    </row>
    <row r="58" spans="1:16">
      <c r="A58" s="195"/>
      <c r="B58" s="187">
        <v>12</v>
      </c>
      <c r="C58" s="189" t="s">
        <v>84</v>
      </c>
      <c r="D58" s="189" t="s">
        <v>85</v>
      </c>
      <c r="E58" s="189" t="s">
        <v>1048</v>
      </c>
      <c r="F58" s="187">
        <v>1</v>
      </c>
      <c r="G58" s="190" t="s">
        <v>939</v>
      </c>
      <c r="H58" s="189" t="s">
        <v>940</v>
      </c>
      <c r="I58" s="189" t="s">
        <v>891</v>
      </c>
      <c r="J58" s="189" t="s">
        <v>1033</v>
      </c>
      <c r="K58" s="192" t="s">
        <v>943</v>
      </c>
      <c r="L58" s="193">
        <v>1</v>
      </c>
      <c r="M58" s="194" t="s">
        <v>1000</v>
      </c>
      <c r="N58" s="216">
        <f>VLOOKUP(C58,tableau_gfe12!$P$2:$AB$401,8,FALSE)</f>
        <v>1</v>
      </c>
      <c r="O58" s="216">
        <f>VLOOKUP(C58,tableau_gfe12!$P$2:$AB$401,12,FALSE)</f>
        <v>0</v>
      </c>
      <c r="P58" t="str">
        <f>VLOOKUP(C58,'[1]LPI Ariel'!$B$3:$G$72,6,FALSE)</f>
        <v>OK</v>
      </c>
    </row>
    <row r="59" spans="1:16">
      <c r="A59" s="195"/>
      <c r="B59" s="187">
        <v>12</v>
      </c>
      <c r="C59" s="189" t="s">
        <v>66</v>
      </c>
      <c r="D59" s="189" t="s">
        <v>67</v>
      </c>
      <c r="E59" s="189" t="s">
        <v>1049</v>
      </c>
      <c r="F59" s="187">
        <v>1</v>
      </c>
      <c r="G59" s="190" t="s">
        <v>939</v>
      </c>
      <c r="H59" s="189" t="s">
        <v>940</v>
      </c>
      <c r="I59" s="189" t="s">
        <v>888</v>
      </c>
      <c r="J59" s="189" t="s">
        <v>1033</v>
      </c>
      <c r="K59" s="192" t="s">
        <v>943</v>
      </c>
      <c r="L59" s="193">
        <v>1</v>
      </c>
      <c r="M59" s="194" t="s">
        <v>1000</v>
      </c>
      <c r="N59" s="216">
        <f>VLOOKUP(C59,tableau_gfe12!$P$2:$AB$401,8,FALSE)</f>
        <v>1</v>
      </c>
      <c r="O59" s="216">
        <f>VLOOKUP(C59,tableau_gfe12!$P$2:$AB$401,12,FALSE)</f>
        <v>7.4999999999999997E-2</v>
      </c>
      <c r="P59" t="str">
        <f>VLOOKUP(C59,'[1]LPI Ariel'!$B$3:$G$72,6,FALSE)</f>
        <v>OK</v>
      </c>
    </row>
    <row r="60" spans="1:16">
      <c r="A60" s="195"/>
      <c r="B60" s="187">
        <v>12</v>
      </c>
      <c r="C60" s="189" t="s">
        <v>69</v>
      </c>
      <c r="D60" s="189" t="s">
        <v>70</v>
      </c>
      <c r="E60" s="189" t="s">
        <v>1050</v>
      </c>
      <c r="F60" s="187">
        <v>1</v>
      </c>
      <c r="G60" s="190" t="s">
        <v>939</v>
      </c>
      <c r="H60" s="189" t="s">
        <v>940</v>
      </c>
      <c r="I60" s="189" t="s">
        <v>888</v>
      </c>
      <c r="J60" s="189" t="s">
        <v>1033</v>
      </c>
      <c r="K60" s="192" t="s">
        <v>943</v>
      </c>
      <c r="L60" s="193">
        <v>1</v>
      </c>
      <c r="M60" s="194" t="s">
        <v>1000</v>
      </c>
      <c r="N60" s="216">
        <f>VLOOKUP(C60,tableau_gfe12!$P$2:$AB$401,8,FALSE)</f>
        <v>1</v>
      </c>
      <c r="O60" s="216">
        <f>VLOOKUP(C60,tableau_gfe12!$P$2:$AB$401,12,FALSE)</f>
        <v>7.4999999999999997E-2</v>
      </c>
      <c r="P60" t="str">
        <f>VLOOKUP(C60,'[1]LPI Ariel'!$B$3:$G$72,6,FALSE)</f>
        <v>OK</v>
      </c>
    </row>
    <row r="61" spans="1:16">
      <c r="A61" s="195"/>
      <c r="B61" s="187">
        <v>12</v>
      </c>
      <c r="C61" s="189" t="s">
        <v>58</v>
      </c>
      <c r="D61" s="189" t="s">
        <v>59</v>
      </c>
      <c r="E61" s="189" t="s">
        <v>1051</v>
      </c>
      <c r="F61" s="187">
        <v>1</v>
      </c>
      <c r="G61" s="190" t="s">
        <v>939</v>
      </c>
      <c r="H61" s="189" t="s">
        <v>940</v>
      </c>
      <c r="I61" s="189" t="s">
        <v>891</v>
      </c>
      <c r="J61" s="189" t="s">
        <v>1033</v>
      </c>
      <c r="K61" s="192" t="s">
        <v>943</v>
      </c>
      <c r="L61" s="193">
        <v>1</v>
      </c>
      <c r="M61" s="194" t="s">
        <v>1000</v>
      </c>
      <c r="N61" s="216">
        <f>VLOOKUP(C61,tableau_gfe12!$P$2:$AB$401,8,FALSE)</f>
        <v>1</v>
      </c>
      <c r="O61" s="216">
        <f>VLOOKUP(C61,tableau_gfe12!$P$2:$AB$401,12,FALSE)</f>
        <v>0.05</v>
      </c>
      <c r="P61" t="str">
        <f>VLOOKUP(C61,'[1]LPI Ariel'!$B$3:$G$72,6,FALSE)</f>
        <v>OK</v>
      </c>
    </row>
    <row r="62" spans="1:16">
      <c r="A62" s="195"/>
      <c r="B62" s="187">
        <v>12</v>
      </c>
      <c r="C62" s="189" t="s">
        <v>63</v>
      </c>
      <c r="D62" s="189" t="s">
        <v>59</v>
      </c>
      <c r="E62" s="189" t="s">
        <v>1051</v>
      </c>
      <c r="F62" s="187">
        <v>1</v>
      </c>
      <c r="G62" s="190" t="s">
        <v>939</v>
      </c>
      <c r="H62" s="189" t="s">
        <v>940</v>
      </c>
      <c r="I62" s="189" t="s">
        <v>891</v>
      </c>
      <c r="J62" s="189" t="s">
        <v>1033</v>
      </c>
      <c r="K62" s="192" t="s">
        <v>943</v>
      </c>
      <c r="L62" s="193">
        <v>1</v>
      </c>
      <c r="M62" s="194" t="s">
        <v>1000</v>
      </c>
      <c r="N62" s="216">
        <f>VLOOKUP(C62,tableau_gfe12!$P$2:$AB$401,8,FALSE)</f>
        <v>1</v>
      </c>
      <c r="O62" s="216">
        <f>VLOOKUP(C62,tableau_gfe12!$P$2:$AB$401,12,FALSE)</f>
        <v>7.0000000000000007E-2</v>
      </c>
      <c r="P62" t="str">
        <f>VLOOKUP(C62,'[1]LPI Ariel'!$B$3:$G$72,6,FALSE)</f>
        <v>OK</v>
      </c>
    </row>
    <row r="63" spans="1:16">
      <c r="A63" s="195"/>
      <c r="B63" s="187">
        <v>12</v>
      </c>
      <c r="C63" s="189" t="s">
        <v>62</v>
      </c>
      <c r="D63" s="189" t="s">
        <v>59</v>
      </c>
      <c r="E63" s="189" t="s">
        <v>1051</v>
      </c>
      <c r="F63" s="187">
        <v>1</v>
      </c>
      <c r="G63" s="190" t="s">
        <v>939</v>
      </c>
      <c r="H63" s="189" t="s">
        <v>940</v>
      </c>
      <c r="I63" s="189" t="s">
        <v>891</v>
      </c>
      <c r="J63" s="189" t="s">
        <v>1033</v>
      </c>
      <c r="K63" s="192" t="s">
        <v>943</v>
      </c>
      <c r="L63" s="193">
        <v>1</v>
      </c>
      <c r="M63" s="194" t="s">
        <v>1000</v>
      </c>
      <c r="N63" s="216">
        <f>VLOOKUP(C63,tableau_gfe12!$P$2:$AB$401,8,FALSE)</f>
        <v>1</v>
      </c>
      <c r="O63" s="216">
        <f>VLOOKUP(C63,tableau_gfe12!$P$2:$AB$401,12,FALSE)</f>
        <v>0.05</v>
      </c>
      <c r="P63" t="str">
        <f>VLOOKUP(C63,'[1]LPI Ariel'!$B$3:$G$72,6,FALSE)</f>
        <v>OK</v>
      </c>
    </row>
    <row r="64" spans="1:16">
      <c r="A64" s="195"/>
      <c r="B64" s="187">
        <v>12</v>
      </c>
      <c r="C64" s="189" t="s">
        <v>352</v>
      </c>
      <c r="D64" s="189" t="s">
        <v>353</v>
      </c>
      <c r="E64" s="189" t="s">
        <v>1052</v>
      </c>
      <c r="F64" s="187">
        <v>1</v>
      </c>
      <c r="G64" s="190" t="s">
        <v>939</v>
      </c>
      <c r="H64" s="189" t="s">
        <v>940</v>
      </c>
      <c r="I64" s="189" t="s">
        <v>890</v>
      </c>
      <c r="J64" s="189" t="s">
        <v>1033</v>
      </c>
      <c r="K64" s="192" t="s">
        <v>943</v>
      </c>
      <c r="L64" s="193">
        <v>1</v>
      </c>
      <c r="M64" s="194" t="s">
        <v>1000</v>
      </c>
      <c r="N64" s="216">
        <f>VLOOKUP(C64,tableau_gfe12!$P$2:$AB$401,8,FALSE)</f>
        <v>1</v>
      </c>
      <c r="O64" s="216">
        <f>VLOOKUP(C64,tableau_gfe12!$P$2:$AB$401,12,FALSE)</f>
        <v>0</v>
      </c>
      <c r="P64" t="str">
        <f>VLOOKUP(C64,'[1]LPI Ariel'!$B$3:$G$72,6,FALSE)</f>
        <v>OK</v>
      </c>
    </row>
    <row r="65" spans="1:16">
      <c r="A65" s="195"/>
      <c r="B65" s="187">
        <v>12</v>
      </c>
      <c r="C65" s="189" t="s">
        <v>183</v>
      </c>
      <c r="D65" s="189" t="s">
        <v>184</v>
      </c>
      <c r="E65" s="189" t="s">
        <v>1053</v>
      </c>
      <c r="F65" s="187">
        <v>2</v>
      </c>
      <c r="G65" s="190" t="s">
        <v>939</v>
      </c>
      <c r="H65" s="189" t="s">
        <v>940</v>
      </c>
      <c r="I65" s="189" t="s">
        <v>894</v>
      </c>
      <c r="J65" s="189" t="s">
        <v>1054</v>
      </c>
      <c r="K65" s="192" t="s">
        <v>943</v>
      </c>
      <c r="L65" s="193">
        <v>1</v>
      </c>
      <c r="M65" s="194" t="s">
        <v>1000</v>
      </c>
      <c r="N65" s="216">
        <f>VLOOKUP(C65,tableau_gfe12!$P$2:$AB$401,8,FALSE)</f>
        <v>1</v>
      </c>
      <c r="O65" s="216">
        <f>VLOOKUP(C65,tableau_gfe12!$P$2:$AB$401,12,FALSE)</f>
        <v>0.247</v>
      </c>
      <c r="P65" t="str">
        <f>VLOOKUP(C65,'[1]LPI Ariel'!$B$3:$G$72,6,FALSE)</f>
        <v>OK</v>
      </c>
    </row>
    <row r="66" spans="1:16">
      <c r="A66" s="195"/>
      <c r="B66" s="187">
        <v>12</v>
      </c>
      <c r="C66" s="189" t="s">
        <v>142</v>
      </c>
      <c r="D66" s="189" t="s">
        <v>143</v>
      </c>
      <c r="E66" s="189" t="s">
        <v>1055</v>
      </c>
      <c r="F66" s="187">
        <v>1</v>
      </c>
      <c r="G66" s="190" t="s">
        <v>939</v>
      </c>
      <c r="H66" s="189" t="s">
        <v>940</v>
      </c>
      <c r="I66" s="189" t="s">
        <v>888</v>
      </c>
      <c r="J66" s="189" t="s">
        <v>1033</v>
      </c>
      <c r="K66" s="194" t="s">
        <v>1023</v>
      </c>
      <c r="L66" s="196">
        <v>0.77</v>
      </c>
      <c r="M66" s="194" t="s">
        <v>1000</v>
      </c>
      <c r="N66" s="216">
        <f>VLOOKUP(C66,tableau_gfe12!$P$2:$AB$401,8,FALSE)</f>
        <v>1</v>
      </c>
      <c r="O66" s="216">
        <f>VLOOKUP(C66,tableau_gfe12!$P$2:$AB$401,12,FALSE)</f>
        <v>0</v>
      </c>
      <c r="P66" t="str">
        <f>VLOOKUP(C66,'[1]LPI Ariel'!$B$3:$G$72,6,FALSE)</f>
        <v>OK</v>
      </c>
    </row>
    <row r="67" spans="1:16">
      <c r="A67" s="195"/>
      <c r="B67" s="187">
        <v>12</v>
      </c>
      <c r="C67" s="189" t="s">
        <v>147</v>
      </c>
      <c r="D67" s="189" t="s">
        <v>148</v>
      </c>
      <c r="E67" s="189" t="s">
        <v>1056</v>
      </c>
      <c r="F67" s="187">
        <v>1</v>
      </c>
      <c r="G67" s="190" t="s">
        <v>939</v>
      </c>
      <c r="H67" s="189" t="s">
        <v>940</v>
      </c>
      <c r="I67" s="189" t="s">
        <v>894</v>
      </c>
      <c r="J67" s="189" t="s">
        <v>1054</v>
      </c>
      <c r="K67" s="194" t="s">
        <v>1023</v>
      </c>
      <c r="L67" s="196">
        <v>0.77</v>
      </c>
      <c r="M67" s="194" t="s">
        <v>1000</v>
      </c>
      <c r="N67" s="216">
        <f>VLOOKUP(C67,tableau_gfe12!$P$2:$AB$401,8,FALSE)</f>
        <v>1</v>
      </c>
      <c r="O67" s="216">
        <f>VLOOKUP(C67,tableau_gfe12!$P$2:$AB$401,12,FALSE)</f>
        <v>0</v>
      </c>
      <c r="P67" t="str">
        <f>VLOOKUP(C67,'[1]LPI Ariel'!$B$3:$G$72,6,FALSE)</f>
        <v>OK</v>
      </c>
    </row>
    <row r="68" spans="1:16">
      <c r="A68" s="195"/>
      <c r="B68" s="187">
        <v>12</v>
      </c>
      <c r="C68" s="189" t="s">
        <v>356</v>
      </c>
      <c r="D68" s="189" t="s">
        <v>357</v>
      </c>
      <c r="E68" s="189" t="s">
        <v>1057</v>
      </c>
      <c r="F68" s="187">
        <v>1</v>
      </c>
      <c r="G68" s="190" t="s">
        <v>939</v>
      </c>
      <c r="H68" s="189" t="s">
        <v>940</v>
      </c>
      <c r="I68" s="189" t="s">
        <v>908</v>
      </c>
      <c r="J68" s="189" t="s">
        <v>942</v>
      </c>
      <c r="K68" s="192" t="s">
        <v>943</v>
      </c>
      <c r="L68" s="193">
        <v>1</v>
      </c>
      <c r="M68" s="194" t="s">
        <v>1000</v>
      </c>
      <c r="N68" s="216">
        <f>VLOOKUP(C68,tableau_gfe12!$P$2:$AB$401,8,FALSE)</f>
        <v>1</v>
      </c>
      <c r="O68" s="216">
        <f>VLOOKUP(C68,tableau_gfe12!$P$2:$AB$401,12,FALSE)</f>
        <v>0</v>
      </c>
      <c r="P68" t="str">
        <f>VLOOKUP(C68,'[1]LPI Ariel'!$B$3:$G$72,6,FALSE)</f>
        <v>OK</v>
      </c>
    </row>
    <row r="69" spans="1:16">
      <c r="A69" s="195"/>
      <c r="B69" s="187">
        <v>12</v>
      </c>
      <c r="C69" s="197" t="s">
        <v>64</v>
      </c>
      <c r="D69" s="189" t="s">
        <v>65</v>
      </c>
      <c r="E69" s="189" t="s">
        <v>1058</v>
      </c>
      <c r="F69" s="187">
        <v>1</v>
      </c>
      <c r="G69" s="190" t="s">
        <v>939</v>
      </c>
      <c r="H69" s="189" t="s">
        <v>940</v>
      </c>
      <c r="I69" s="189" t="s">
        <v>896</v>
      </c>
      <c r="J69" s="189" t="s">
        <v>942</v>
      </c>
      <c r="K69" s="192" t="s">
        <v>943</v>
      </c>
      <c r="L69" s="193">
        <v>1</v>
      </c>
      <c r="M69" s="194" t="s">
        <v>1000</v>
      </c>
      <c r="N69" s="216">
        <f>VLOOKUP(C69,tableau_gfe12!$P$2:$AB$401,8,FALSE)</f>
        <v>1</v>
      </c>
      <c r="O69" s="216">
        <f>VLOOKUP(C69,tableau_gfe12!$P$2:$AB$401,12,FALSE)</f>
        <v>4.58</v>
      </c>
      <c r="P69" t="str">
        <f>VLOOKUP(C69,'[1]LPI Ariel'!$B$3:$G$72,6,FALSE)</f>
        <v>Add</v>
      </c>
    </row>
    <row r="70" spans="1:16">
      <c r="A70" s="195"/>
      <c r="B70" s="187">
        <v>12</v>
      </c>
      <c r="C70" s="189" t="s">
        <v>240</v>
      </c>
      <c r="D70" s="189" t="s">
        <v>241</v>
      </c>
      <c r="E70" s="189" t="s">
        <v>1059</v>
      </c>
      <c r="F70" s="187">
        <v>1</v>
      </c>
      <c r="G70" s="190" t="s">
        <v>939</v>
      </c>
      <c r="H70" s="189" t="s">
        <v>940</v>
      </c>
      <c r="I70" s="189" t="s">
        <v>684</v>
      </c>
      <c r="J70" s="189" t="s">
        <v>942</v>
      </c>
      <c r="K70" s="192" t="s">
        <v>943</v>
      </c>
      <c r="L70" s="193">
        <v>1</v>
      </c>
      <c r="M70" s="194" t="s">
        <v>1000</v>
      </c>
      <c r="N70" s="216">
        <f>VLOOKUP(C70,tableau_gfe12!$P$2:$AB$401,8,FALSE)</f>
        <v>1</v>
      </c>
      <c r="O70" s="216">
        <f>VLOOKUP(C70,tableau_gfe12!$P$2:$AB$401,12,FALSE)</f>
        <v>0</v>
      </c>
      <c r="P70" t="str">
        <f>VLOOKUP(C70,'[1]LPI Ariel'!$B$3:$G$72,6,FALSE)</f>
        <v>OK</v>
      </c>
    </row>
    <row r="71" spans="1:16">
      <c r="A71" s="195"/>
      <c r="B71" s="187">
        <v>12</v>
      </c>
      <c r="C71" s="189" t="s">
        <v>270</v>
      </c>
      <c r="D71" s="189" t="s">
        <v>271</v>
      </c>
      <c r="E71" s="189" t="s">
        <v>1060</v>
      </c>
      <c r="F71" s="187">
        <v>1</v>
      </c>
      <c r="G71" s="190" t="s">
        <v>939</v>
      </c>
      <c r="H71" s="189" t="s">
        <v>940</v>
      </c>
      <c r="I71" s="189" t="s">
        <v>896</v>
      </c>
      <c r="J71" s="189" t="s">
        <v>942</v>
      </c>
      <c r="K71" s="192" t="s">
        <v>943</v>
      </c>
      <c r="L71" s="193">
        <v>1</v>
      </c>
      <c r="M71" s="194" t="s">
        <v>1000</v>
      </c>
      <c r="N71" s="216">
        <f>VLOOKUP(C71,tableau_gfe12!$P$2:$AB$401,8,FALSE)</f>
        <v>1</v>
      </c>
      <c r="O71" s="216">
        <f>VLOOKUP(C71,tableau_gfe12!$P$2:$AB$401,12,FALSE)</f>
        <v>2.5499999999999998</v>
      </c>
      <c r="P71" t="str">
        <f>VLOOKUP(C71,'[1]LPI Ariel'!$B$3:$G$72,6,FALSE)</f>
        <v>OK</v>
      </c>
    </row>
    <row r="72" spans="1:16">
      <c r="A72" s="195"/>
      <c r="B72" s="187">
        <v>12</v>
      </c>
      <c r="C72" s="189" t="s">
        <v>273</v>
      </c>
      <c r="D72" s="189" t="s">
        <v>274</v>
      </c>
      <c r="E72" s="189" t="s">
        <v>1061</v>
      </c>
      <c r="F72" s="187">
        <v>1</v>
      </c>
      <c r="G72" s="190" t="s">
        <v>939</v>
      </c>
      <c r="H72" s="189" t="s">
        <v>940</v>
      </c>
      <c r="I72" s="189" t="s">
        <v>878</v>
      </c>
      <c r="J72" s="189" t="s">
        <v>942</v>
      </c>
      <c r="K72" s="192" t="s">
        <v>943</v>
      </c>
      <c r="L72" s="193">
        <v>1</v>
      </c>
      <c r="M72" s="194" t="s">
        <v>1000</v>
      </c>
      <c r="N72" s="216">
        <f>VLOOKUP(C72,tableau_gfe12!$P$2:$AB$401,8,FALSE)</f>
        <v>1</v>
      </c>
      <c r="O72" s="216">
        <f>VLOOKUP(C72,tableau_gfe12!$P$2:$AB$401,12,FALSE)</f>
        <v>0</v>
      </c>
      <c r="P72" t="str">
        <f>VLOOKUP(C72,'[1]LPI Ariel'!$B$3:$G$72,6,FALSE)</f>
        <v>OK</v>
      </c>
    </row>
    <row r="73" spans="1:16">
      <c r="A73" s="195"/>
      <c r="B73" s="187">
        <v>12</v>
      </c>
      <c r="C73" s="189" t="s">
        <v>283</v>
      </c>
      <c r="D73" s="189" t="s">
        <v>284</v>
      </c>
      <c r="E73" s="189" t="s">
        <v>694</v>
      </c>
      <c r="F73" s="187">
        <v>1</v>
      </c>
      <c r="G73" s="190" t="s">
        <v>939</v>
      </c>
      <c r="H73" s="189" t="s">
        <v>940</v>
      </c>
      <c r="I73" s="189" t="s">
        <v>908</v>
      </c>
      <c r="J73" s="189" t="s">
        <v>942</v>
      </c>
      <c r="K73" s="192" t="s">
        <v>943</v>
      </c>
      <c r="L73" s="193">
        <v>1</v>
      </c>
      <c r="M73" s="194" t="s">
        <v>1000</v>
      </c>
      <c r="N73" s="216">
        <f>VLOOKUP(C73,tableau_gfe12!$P$2:$AB$401,8,FALSE)</f>
        <v>1</v>
      </c>
      <c r="O73" s="216">
        <f>VLOOKUP(C73,tableau_gfe12!$P$2:$AB$401,12,FALSE)</f>
        <v>0</v>
      </c>
      <c r="P73" t="str">
        <f>VLOOKUP(C73,'[1]LPI Ariel'!$B$3:$G$72,6,FALSE)</f>
        <v>OK</v>
      </c>
    </row>
    <row r="74" spans="1:16">
      <c r="A74" s="195"/>
      <c r="B74" s="187">
        <v>12</v>
      </c>
      <c r="C74" s="189" t="s">
        <v>336</v>
      </c>
      <c r="D74" s="189" t="s">
        <v>337</v>
      </c>
      <c r="E74" s="189" t="s">
        <v>1062</v>
      </c>
      <c r="F74" s="187">
        <v>1</v>
      </c>
      <c r="G74" s="190" t="s">
        <v>939</v>
      </c>
      <c r="H74" s="189" t="s">
        <v>940</v>
      </c>
      <c r="I74" s="189" t="s">
        <v>896</v>
      </c>
      <c r="J74" s="189" t="s">
        <v>942</v>
      </c>
      <c r="K74" s="192" t="s">
        <v>943</v>
      </c>
      <c r="L74" s="193">
        <v>1</v>
      </c>
      <c r="M74" s="194" t="s">
        <v>1000</v>
      </c>
      <c r="N74" s="216">
        <f>VLOOKUP(C74,tableau_gfe12!$P$2:$AB$401,8,FALSE)</f>
        <v>1</v>
      </c>
      <c r="O74" s="216">
        <f>VLOOKUP(C74,tableau_gfe12!$P$2:$AB$401,12,FALSE)</f>
        <v>2.56</v>
      </c>
      <c r="P74" t="str">
        <f>VLOOKUP(C74,'[1]LPI Ariel'!$B$3:$G$72,6,FALSE)</f>
        <v>OK</v>
      </c>
    </row>
    <row r="75" spans="1:16">
      <c r="A75" s="195"/>
      <c r="B75" s="187">
        <v>12</v>
      </c>
      <c r="C75" s="189" t="s">
        <v>343</v>
      </c>
      <c r="D75" s="189" t="s">
        <v>344</v>
      </c>
      <c r="E75" s="189" t="s">
        <v>1063</v>
      </c>
      <c r="F75" s="187">
        <v>1</v>
      </c>
      <c r="G75" s="190" t="s">
        <v>939</v>
      </c>
      <c r="H75" s="189" t="s">
        <v>940</v>
      </c>
      <c r="I75" s="189" t="s">
        <v>878</v>
      </c>
      <c r="J75" s="189" t="s">
        <v>942</v>
      </c>
      <c r="K75" s="192" t="s">
        <v>943</v>
      </c>
      <c r="L75" s="193">
        <v>1</v>
      </c>
      <c r="M75" s="194" t="s">
        <v>1000</v>
      </c>
      <c r="N75" s="216">
        <f>VLOOKUP(C75,tableau_gfe12!$P$2:$AB$401,8,FALSE)</f>
        <v>1</v>
      </c>
      <c r="O75" s="216">
        <f>VLOOKUP(C75,tableau_gfe12!$P$2:$AB$401,12,FALSE)</f>
        <v>0.97599999999999998</v>
      </c>
      <c r="P75" t="str">
        <f>VLOOKUP(C75,'[1]LPI Ariel'!$B$3:$G$72,6,FALSE)</f>
        <v>OK</v>
      </c>
    </row>
    <row r="76" spans="1:16">
      <c r="A76" s="195"/>
      <c r="B76" s="187">
        <v>12</v>
      </c>
      <c r="C76" s="189" t="s">
        <v>562</v>
      </c>
      <c r="D76" s="189" t="s">
        <v>563</v>
      </c>
      <c r="E76" s="189" t="s">
        <v>563</v>
      </c>
      <c r="F76" s="187">
        <v>1</v>
      </c>
      <c r="G76" s="190" t="s">
        <v>939</v>
      </c>
      <c r="H76" s="189" t="s">
        <v>940</v>
      </c>
      <c r="I76" s="189" t="s">
        <v>896</v>
      </c>
      <c r="J76" s="189" t="s">
        <v>942</v>
      </c>
      <c r="K76" s="192" t="s">
        <v>943</v>
      </c>
      <c r="L76" s="193">
        <v>1</v>
      </c>
      <c r="M76" s="194" t="s">
        <v>1000</v>
      </c>
      <c r="N76" s="216">
        <f>VLOOKUP(C76,tableau_gfe12!$P$2:$AB$401,8,FALSE)</f>
        <v>1</v>
      </c>
      <c r="O76" s="216">
        <f>VLOOKUP(C76,tableau_gfe12!$P$2:$AB$401,12,FALSE)</f>
        <v>6.29</v>
      </c>
      <c r="P76" t="str">
        <f>VLOOKUP(C76,'[1]LPI Ariel'!$B$3:$G$72,6,FALSE)</f>
        <v>OK</v>
      </c>
    </row>
    <row r="77" spans="1:16">
      <c r="A77" s="195"/>
      <c r="B77" s="187">
        <v>12</v>
      </c>
      <c r="C77" s="189" t="s">
        <v>533</v>
      </c>
      <c r="D77" s="189" t="s">
        <v>534</v>
      </c>
      <c r="E77" s="189" t="s">
        <v>1064</v>
      </c>
      <c r="F77" s="187">
        <v>1</v>
      </c>
      <c r="G77" s="190" t="s">
        <v>939</v>
      </c>
      <c r="H77" s="189" t="s">
        <v>940</v>
      </c>
      <c r="I77" s="189" t="s">
        <v>908</v>
      </c>
      <c r="J77" s="189" t="s">
        <v>942</v>
      </c>
      <c r="K77" s="192" t="s">
        <v>943</v>
      </c>
      <c r="L77" s="193">
        <v>1</v>
      </c>
      <c r="M77" s="194" t="s">
        <v>1000</v>
      </c>
      <c r="N77" s="216">
        <f>VLOOKUP(C77,tableau_gfe12!$P$2:$AB$401,8,FALSE)</f>
        <v>1</v>
      </c>
      <c r="O77" s="216">
        <f>VLOOKUP(C77,tableau_gfe12!$P$2:$AB$401,12,FALSE)</f>
        <v>0.1</v>
      </c>
      <c r="P77" t="str">
        <f>VLOOKUP(C77,'[1]LPI Ariel'!$B$3:$G$72,6,FALSE)</f>
        <v>OK</v>
      </c>
    </row>
    <row r="78" spans="1:16">
      <c r="A78" s="195"/>
      <c r="B78" s="187">
        <v>12</v>
      </c>
      <c r="C78" s="189" t="s">
        <v>139</v>
      </c>
      <c r="D78" s="189" t="s">
        <v>140</v>
      </c>
      <c r="E78" s="189" t="s">
        <v>1065</v>
      </c>
      <c r="F78" s="187">
        <v>1</v>
      </c>
      <c r="G78" s="190" t="s">
        <v>939</v>
      </c>
      <c r="H78" s="189" t="s">
        <v>940</v>
      </c>
      <c r="I78" s="189" t="s">
        <v>884</v>
      </c>
      <c r="J78" s="189" t="s">
        <v>1066</v>
      </c>
      <c r="K78" s="192" t="s">
        <v>943</v>
      </c>
      <c r="L78" s="193">
        <v>1</v>
      </c>
      <c r="M78" s="194" t="s">
        <v>1000</v>
      </c>
      <c r="N78" s="216">
        <f>VLOOKUP(C78,tableau_gfe12!$P$2:$AB$401,8,FALSE)</f>
        <v>1</v>
      </c>
      <c r="O78" s="216">
        <f>VLOOKUP(C78,tableau_gfe12!$P$2:$AB$401,12,FALSE)</f>
        <v>2.766</v>
      </c>
      <c r="P78" t="str">
        <f>VLOOKUP(C78,'[1]LPI Ariel'!$B$3:$G$72,6,FALSE)</f>
        <v>OK</v>
      </c>
    </row>
    <row r="79" spans="1:16">
      <c r="A79" s="195"/>
      <c r="B79" s="187">
        <v>12</v>
      </c>
      <c r="C79" s="189" t="s">
        <v>172</v>
      </c>
      <c r="D79" s="189" t="s">
        <v>173</v>
      </c>
      <c r="E79" s="189" t="s">
        <v>1067</v>
      </c>
      <c r="F79" s="187">
        <v>1</v>
      </c>
      <c r="G79" s="190" t="s">
        <v>939</v>
      </c>
      <c r="H79" s="189" t="s">
        <v>940</v>
      </c>
      <c r="I79" s="189" t="s">
        <v>888</v>
      </c>
      <c r="J79" s="189" t="s">
        <v>1066</v>
      </c>
      <c r="K79" s="192" t="s">
        <v>943</v>
      </c>
      <c r="L79" s="193">
        <v>1</v>
      </c>
      <c r="M79" s="194" t="s">
        <v>1000</v>
      </c>
      <c r="N79" s="216">
        <f>VLOOKUP(C79,tableau_gfe12!$P$2:$AB$401,8,FALSE)</f>
        <v>1</v>
      </c>
      <c r="O79" s="216">
        <f>VLOOKUP(C79,tableau_gfe12!$P$2:$AB$401,12,FALSE)</f>
        <v>0.21</v>
      </c>
      <c r="P79" t="str">
        <f>VLOOKUP(C79,'[1]LPI Ariel'!$B$3:$G$72,6,FALSE)</f>
        <v>OK</v>
      </c>
    </row>
    <row r="80" spans="1:16">
      <c r="A80" s="195"/>
      <c r="B80" s="187">
        <v>12</v>
      </c>
      <c r="C80" s="189" t="s">
        <v>208</v>
      </c>
      <c r="D80" s="189" t="s">
        <v>209</v>
      </c>
      <c r="E80" s="189" t="s">
        <v>1068</v>
      </c>
      <c r="F80" s="187">
        <v>1</v>
      </c>
      <c r="G80" s="190" t="s">
        <v>939</v>
      </c>
      <c r="H80" s="189" t="s">
        <v>940</v>
      </c>
      <c r="I80" s="189" t="s">
        <v>884</v>
      </c>
      <c r="J80" s="189" t="s">
        <v>1066</v>
      </c>
      <c r="K80" s="192" t="s">
        <v>943</v>
      </c>
      <c r="L80" s="193">
        <v>1</v>
      </c>
      <c r="M80" s="194" t="s">
        <v>1000</v>
      </c>
      <c r="N80" s="216">
        <f>VLOOKUP(C80,tableau_gfe12!$P$2:$AB$401,8,FALSE)</f>
        <v>1</v>
      </c>
      <c r="O80" s="216">
        <f>VLOOKUP(C80,tableau_gfe12!$P$2:$AB$401,12,FALSE)</f>
        <v>2.766</v>
      </c>
      <c r="P80" t="str">
        <f>VLOOKUP(C80,'[1]LPI Ariel'!$B$3:$G$72,6,FALSE)</f>
        <v>OK</v>
      </c>
    </row>
    <row r="81" spans="1:34">
      <c r="A81" s="195"/>
      <c r="B81" s="187">
        <v>12</v>
      </c>
      <c r="C81" s="189" t="s">
        <v>898</v>
      </c>
      <c r="D81" s="189" t="s">
        <v>126</v>
      </c>
      <c r="E81" s="189" t="s">
        <v>1024</v>
      </c>
      <c r="F81" s="187">
        <v>1</v>
      </c>
      <c r="G81" s="190" t="s">
        <v>939</v>
      </c>
      <c r="H81" s="189" t="s">
        <v>940</v>
      </c>
      <c r="I81" s="189" t="s">
        <v>878</v>
      </c>
      <c r="J81" s="189" t="s">
        <v>1066</v>
      </c>
      <c r="K81" s="192" t="s">
        <v>943</v>
      </c>
      <c r="L81" s="193">
        <v>1</v>
      </c>
      <c r="M81" s="194" t="s">
        <v>1000</v>
      </c>
      <c r="N81" s="216" t="e">
        <f>VLOOKUP(C81,tableau_gfe12!$P$2:$AB$401,8,FALSE)</f>
        <v>#N/A</v>
      </c>
      <c r="O81" s="216" t="e">
        <f>VLOOKUP(C81,tableau_gfe12!$P$2:$AB$401,12,FALSE)</f>
        <v>#N/A</v>
      </c>
      <c r="P81" t="str">
        <f>VLOOKUP(C81,'[1]LPI Ariel'!$B$3:$G$72,6,FALSE)</f>
        <v>OK</v>
      </c>
    </row>
    <row r="82" spans="1:34">
      <c r="A82" s="195"/>
      <c r="B82" s="187">
        <v>12</v>
      </c>
      <c r="C82" s="189" t="s">
        <v>899</v>
      </c>
      <c r="D82" s="189" t="s">
        <v>900</v>
      </c>
      <c r="E82" s="189" t="s">
        <v>1069</v>
      </c>
      <c r="F82" s="187">
        <v>4</v>
      </c>
      <c r="G82" s="190" t="s">
        <v>939</v>
      </c>
      <c r="H82" s="189" t="s">
        <v>940</v>
      </c>
      <c r="I82" s="189" t="s">
        <v>684</v>
      </c>
      <c r="J82" s="189" t="s">
        <v>942</v>
      </c>
      <c r="K82" s="192" t="s">
        <v>943</v>
      </c>
      <c r="L82" s="193">
        <v>1</v>
      </c>
      <c r="M82" s="194" t="s">
        <v>1000</v>
      </c>
      <c r="N82" s="216" t="e">
        <f>VLOOKUP(C82,tableau_gfe12!$P$2:$AB$401,8,FALSE)</f>
        <v>#N/A</v>
      </c>
      <c r="O82" s="216" t="e">
        <f>VLOOKUP(C82,tableau_gfe12!$P$2:$AB$401,12,FALSE)</f>
        <v>#N/A</v>
      </c>
      <c r="P82" t="str">
        <f>VLOOKUP(C82,'[1]LPI Ariel'!$B$3:$G$72,6,FALSE)</f>
        <v>OK</v>
      </c>
    </row>
    <row r="83" spans="1:34">
      <c r="A83" s="195"/>
      <c r="B83" s="187">
        <v>12</v>
      </c>
      <c r="C83" s="189" t="s">
        <v>221</v>
      </c>
      <c r="D83" s="189" t="s">
        <v>222</v>
      </c>
      <c r="E83" s="189" t="s">
        <v>1070</v>
      </c>
      <c r="F83" s="187">
        <v>1</v>
      </c>
      <c r="G83" s="190" t="s">
        <v>939</v>
      </c>
      <c r="H83" s="189" t="s">
        <v>940</v>
      </c>
      <c r="I83" s="189" t="s">
        <v>888</v>
      </c>
      <c r="J83" s="189" t="s">
        <v>1066</v>
      </c>
      <c r="K83" s="192" t="s">
        <v>943</v>
      </c>
      <c r="L83" s="193">
        <v>1</v>
      </c>
      <c r="M83" s="194" t="s">
        <v>1000</v>
      </c>
      <c r="N83" s="216">
        <f>VLOOKUP(C83,tableau_gfe12!$P$2:$AB$401,8,FALSE)</f>
        <v>1</v>
      </c>
      <c r="O83" s="216">
        <f>VLOOKUP(C83,tableau_gfe12!$P$2:$AB$401,12,FALSE)</f>
        <v>0.21</v>
      </c>
      <c r="P83" t="str">
        <f>VLOOKUP(C83,'[1]LPI Ariel'!$B$3:$G$72,6,FALSE)</f>
        <v>OK</v>
      </c>
    </row>
    <row r="84" spans="1:34">
      <c r="A84" s="195"/>
      <c r="B84" s="187">
        <v>12</v>
      </c>
      <c r="C84" s="189" t="s">
        <v>402</v>
      </c>
      <c r="D84" s="189" t="s">
        <v>419</v>
      </c>
      <c r="E84" s="189" t="s">
        <v>1071</v>
      </c>
      <c r="F84" s="187">
        <v>1</v>
      </c>
      <c r="G84" s="190" t="s">
        <v>939</v>
      </c>
      <c r="H84" s="189" t="s">
        <v>940</v>
      </c>
      <c r="I84" s="189" t="s">
        <v>1072</v>
      </c>
      <c r="J84" s="189" t="s">
        <v>1066</v>
      </c>
      <c r="K84" s="192" t="s">
        <v>943</v>
      </c>
      <c r="L84" s="193">
        <v>1</v>
      </c>
      <c r="M84" s="194" t="s">
        <v>1000</v>
      </c>
      <c r="N84" s="216">
        <f>VLOOKUP(C84,tableau_gfe12!$P$2:$AB$401,8,FALSE)</f>
        <v>1</v>
      </c>
      <c r="O84" s="216">
        <f>VLOOKUP(C84,tableau_gfe12!$P$2:$AB$401,12,FALSE)</f>
        <v>3.9009999999999998</v>
      </c>
      <c r="P84" t="str">
        <f>VLOOKUP(C84,'[1]LPI Ariel'!$B$3:$G$72,6,FALSE)</f>
        <v>OK</v>
      </c>
    </row>
    <row r="85" spans="1:34">
      <c r="A85" s="195"/>
      <c r="B85" s="187">
        <v>12</v>
      </c>
      <c r="C85" s="189" t="s">
        <v>903</v>
      </c>
      <c r="D85" s="189" t="s">
        <v>544</v>
      </c>
      <c r="E85" s="189" t="s">
        <v>1073</v>
      </c>
      <c r="F85" s="187">
        <v>1</v>
      </c>
      <c r="G85" s="190" t="s">
        <v>939</v>
      </c>
      <c r="H85" s="189" t="s">
        <v>940</v>
      </c>
      <c r="I85" s="189" t="s">
        <v>906</v>
      </c>
      <c r="J85" s="189" t="s">
        <v>1033</v>
      </c>
      <c r="K85" s="192" t="s">
        <v>943</v>
      </c>
      <c r="L85" s="193">
        <v>1</v>
      </c>
      <c r="M85" s="194" t="s">
        <v>1000</v>
      </c>
      <c r="N85" s="216" t="e">
        <f>VLOOKUP(C85,tableau_gfe12!$P$2:$AB$401,8,FALSE)</f>
        <v>#N/A</v>
      </c>
      <c r="O85" s="216" t="e">
        <f>VLOOKUP(C85,tableau_gfe12!$P$2:$AB$401,12,FALSE)</f>
        <v>#N/A</v>
      </c>
      <c r="P85" t="str">
        <f>VLOOKUP(C85,'[1]LPI Ariel'!$B$3:$G$72,6,FALSE)</f>
        <v>OK</v>
      </c>
    </row>
    <row r="86" spans="1:34">
      <c r="A86" s="195"/>
      <c r="B86" s="187">
        <v>12</v>
      </c>
      <c r="C86" s="189" t="s">
        <v>326</v>
      </c>
      <c r="D86" s="189" t="s">
        <v>327</v>
      </c>
      <c r="E86" s="189" t="s">
        <v>1074</v>
      </c>
      <c r="F86" s="187">
        <v>1</v>
      </c>
      <c r="G86" s="190" t="s">
        <v>939</v>
      </c>
      <c r="H86" s="189" t="s">
        <v>940</v>
      </c>
      <c r="I86" s="189" t="s">
        <v>684</v>
      </c>
      <c r="J86" s="189" t="s">
        <v>942</v>
      </c>
      <c r="K86" s="192" t="s">
        <v>943</v>
      </c>
      <c r="L86" s="193">
        <v>1</v>
      </c>
      <c r="M86" s="194" t="s">
        <v>1000</v>
      </c>
      <c r="N86" s="216">
        <f>VLOOKUP(C86,tableau_gfe12!$P$2:$AB$401,8,FALSE)</f>
        <v>1</v>
      </c>
      <c r="O86" s="216">
        <f>VLOOKUP(C86,tableau_gfe12!$P$2:$AB$401,12,FALSE)</f>
        <v>0.26500000000000001</v>
      </c>
      <c r="P86" t="str">
        <f>VLOOKUP(C86,'[1]LPI Ariel'!$B$3:$G$72,6,FALSE)</f>
        <v>Add</v>
      </c>
    </row>
    <row r="87" spans="1:34">
      <c r="A87" s="195"/>
      <c r="B87" s="187">
        <v>12</v>
      </c>
      <c r="C87" s="189" t="s">
        <v>440</v>
      </c>
      <c r="D87" s="189" t="s">
        <v>441</v>
      </c>
      <c r="E87" s="189" t="s">
        <v>1075</v>
      </c>
      <c r="F87" s="187">
        <v>1</v>
      </c>
      <c r="G87" s="190" t="s">
        <v>939</v>
      </c>
      <c r="H87" s="189" t="s">
        <v>940</v>
      </c>
      <c r="I87" s="188" t="s">
        <v>963</v>
      </c>
      <c r="J87" s="189" t="s">
        <v>942</v>
      </c>
      <c r="K87" s="192" t="s">
        <v>943</v>
      </c>
      <c r="L87" s="193">
        <v>1</v>
      </c>
      <c r="M87" s="194" t="s">
        <v>1000</v>
      </c>
      <c r="N87" s="216">
        <f>VLOOKUP(C87,tableau_gfe12!$P$2:$AB$401,8,FALSE)</f>
        <v>1</v>
      </c>
      <c r="O87" s="216">
        <f>VLOOKUP(C87,tableau_gfe12!$P$2:$AB$401,12,FALSE)</f>
        <v>0.6</v>
      </c>
      <c r="P87" t="str">
        <f>VLOOKUP(C87,'[1]LPI Ariel'!$B$3:$G$72,6,FALSE)</f>
        <v>OK</v>
      </c>
    </row>
    <row r="88" spans="1:34">
      <c r="A88" s="195"/>
      <c r="B88" s="187">
        <v>12</v>
      </c>
      <c r="C88" s="189" t="s">
        <v>76</v>
      </c>
      <c r="D88" s="189" t="s">
        <v>77</v>
      </c>
      <c r="E88" s="189" t="s">
        <v>1076</v>
      </c>
      <c r="F88" s="187">
        <v>1</v>
      </c>
      <c r="G88" s="190" t="s">
        <v>939</v>
      </c>
      <c r="H88" s="189" t="s">
        <v>940</v>
      </c>
      <c r="I88" s="189" t="s">
        <v>1077</v>
      </c>
      <c r="J88" s="189" t="s">
        <v>987</v>
      </c>
      <c r="K88" s="192" t="s">
        <v>943</v>
      </c>
      <c r="L88" s="193">
        <v>1</v>
      </c>
      <c r="M88" s="194" t="s">
        <v>1000</v>
      </c>
      <c r="N88" s="216">
        <f>VLOOKUP(C88,tableau_gfe12!$P$2:$AB$401,8,FALSE)</f>
        <v>1</v>
      </c>
      <c r="O88" s="216">
        <f>VLOOKUP(C88,tableau_gfe12!$P$2:$AB$401,12,FALSE)</f>
        <v>0</v>
      </c>
      <c r="P88" t="e">
        <f>VLOOKUP(C88,'[1]LPI Ariel'!$B$3:$G$72,6,FALSE)</f>
        <v>#N/A</v>
      </c>
    </row>
    <row r="89" spans="1:34">
      <c r="A89" s="195"/>
      <c r="B89" s="187">
        <v>12</v>
      </c>
      <c r="C89" s="189" t="s">
        <v>80</v>
      </c>
      <c r="D89" s="189" t="s">
        <v>81</v>
      </c>
      <c r="E89" s="189" t="s">
        <v>1078</v>
      </c>
      <c r="F89" s="187">
        <v>1</v>
      </c>
      <c r="G89" s="190" t="s">
        <v>939</v>
      </c>
      <c r="H89" s="189" t="s">
        <v>940</v>
      </c>
      <c r="I89" s="189" t="s">
        <v>1077</v>
      </c>
      <c r="J89" s="189" t="s">
        <v>987</v>
      </c>
      <c r="K89" s="192" t="s">
        <v>943</v>
      </c>
      <c r="L89" s="193">
        <v>1</v>
      </c>
      <c r="M89" s="194" t="s">
        <v>1000</v>
      </c>
      <c r="N89" s="216">
        <f>VLOOKUP(C89,tableau_gfe12!$P$2:$AB$401,8,FALSE)</f>
        <v>1</v>
      </c>
      <c r="O89" s="216">
        <f>VLOOKUP(C89,tableau_gfe12!$P$2:$AB$401,12,FALSE)</f>
        <v>0</v>
      </c>
      <c r="P89" t="e">
        <f>VLOOKUP(C89,'[1]LPI Ariel'!$B$3:$G$72,6,FALSE)</f>
        <v>#N/A</v>
      </c>
    </row>
    <row r="90" spans="1:34">
      <c r="A90" s="195"/>
      <c r="B90" s="187">
        <v>12</v>
      </c>
      <c r="C90" s="189" t="s">
        <v>594</v>
      </c>
      <c r="D90" s="189" t="s">
        <v>595</v>
      </c>
      <c r="E90" s="189" t="s">
        <v>999</v>
      </c>
      <c r="F90" s="187">
        <v>1</v>
      </c>
      <c r="G90" s="190" t="s">
        <v>939</v>
      </c>
      <c r="H90" s="189" t="s">
        <v>940</v>
      </c>
      <c r="I90" s="189" t="s">
        <v>1077</v>
      </c>
      <c r="J90" s="189" t="s">
        <v>987</v>
      </c>
      <c r="K90" s="192" t="s">
        <v>943</v>
      </c>
      <c r="L90" s="193">
        <v>1</v>
      </c>
      <c r="M90" s="194" t="s">
        <v>1000</v>
      </c>
      <c r="N90" s="216">
        <f>VLOOKUP(C90,tableau_gfe12!$P$2:$AB$401,8,FALSE)</f>
        <v>1</v>
      </c>
      <c r="O90" s="216">
        <f>VLOOKUP(C90,tableau_gfe12!$P$2:$AB$401,12,FALSE)</f>
        <v>0.96</v>
      </c>
      <c r="P90" t="e">
        <f>VLOOKUP(C90,'[1]LPI Ariel'!$B$3:$G$72,6,FALSE)</f>
        <v>#N/A</v>
      </c>
    </row>
    <row r="91" spans="1:34">
      <c r="A91" s="195"/>
      <c r="B91" s="187">
        <v>12</v>
      </c>
      <c r="C91" s="189" t="s">
        <v>442</v>
      </c>
      <c r="D91" s="189" t="s">
        <v>443</v>
      </c>
      <c r="E91" s="189" t="s">
        <v>1079</v>
      </c>
      <c r="F91" s="187">
        <v>1</v>
      </c>
      <c r="G91" s="190" t="s">
        <v>939</v>
      </c>
      <c r="H91" s="189" t="s">
        <v>940</v>
      </c>
      <c r="I91" s="189" t="s">
        <v>1077</v>
      </c>
      <c r="J91" s="189" t="s">
        <v>987</v>
      </c>
      <c r="K91" s="192" t="s">
        <v>943</v>
      </c>
      <c r="L91" s="193">
        <v>1</v>
      </c>
      <c r="M91" s="194" t="s">
        <v>1000</v>
      </c>
      <c r="N91" s="216">
        <f>VLOOKUP(C91,tableau_gfe12!$P$2:$AB$401,8,FALSE)</f>
        <v>1</v>
      </c>
      <c r="O91" s="216">
        <f>VLOOKUP(C91,tableau_gfe12!$P$2:$AB$401,12,FALSE)</f>
        <v>1.306</v>
      </c>
      <c r="P91" t="e">
        <f>VLOOKUP(C91,'[1]LPI Ariel'!$B$3:$G$72,6,FALSE)</f>
        <v>#N/A</v>
      </c>
    </row>
    <row r="92" spans="1:34" s="198" customFormat="1" hidden="1">
      <c r="A92" s="186"/>
      <c r="B92" s="187">
        <v>12</v>
      </c>
      <c r="C92" s="189" t="s">
        <v>1080</v>
      </c>
      <c r="D92" s="189" t="s">
        <v>1081</v>
      </c>
      <c r="E92" s="189" t="s">
        <v>1082</v>
      </c>
      <c r="F92" s="187">
        <v>1</v>
      </c>
      <c r="G92" s="190" t="s">
        <v>939</v>
      </c>
      <c r="H92" s="189" t="s">
        <v>940</v>
      </c>
      <c r="I92" s="189" t="s">
        <v>880</v>
      </c>
      <c r="J92" s="189" t="s">
        <v>1022</v>
      </c>
      <c r="K92" s="192" t="s">
        <v>943</v>
      </c>
      <c r="L92" s="193">
        <v>1</v>
      </c>
      <c r="M92" s="194" t="s">
        <v>944</v>
      </c>
      <c r="N92" s="216"/>
      <c r="O92" s="216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</row>
    <row r="93" spans="1:34" s="198" customFormat="1" hidden="1">
      <c r="A93" s="186"/>
      <c r="B93" s="187">
        <v>12</v>
      </c>
      <c r="C93" s="189" t="s">
        <v>1083</v>
      </c>
      <c r="D93" s="189" t="s">
        <v>1084</v>
      </c>
      <c r="E93" s="189" t="s">
        <v>1085</v>
      </c>
      <c r="F93" s="187">
        <v>1</v>
      </c>
      <c r="G93" s="190" t="s">
        <v>939</v>
      </c>
      <c r="H93" s="189" t="s">
        <v>940</v>
      </c>
      <c r="I93" s="189" t="s">
        <v>880</v>
      </c>
      <c r="J93" s="189" t="s">
        <v>1022</v>
      </c>
      <c r="K93" s="192" t="s">
        <v>943</v>
      </c>
      <c r="L93" s="193">
        <v>1</v>
      </c>
      <c r="M93" s="194" t="s">
        <v>944</v>
      </c>
      <c r="N93" s="216"/>
      <c r="O93" s="216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</row>
    <row r="94" spans="1:34" s="198" customFormat="1">
      <c r="A94" s="195"/>
      <c r="B94" s="187">
        <v>12</v>
      </c>
      <c r="C94" s="189" t="s">
        <v>566</v>
      </c>
      <c r="D94" s="189" t="s">
        <v>567</v>
      </c>
      <c r="E94" s="189" t="s">
        <v>1086</v>
      </c>
      <c r="F94" s="187">
        <v>1</v>
      </c>
      <c r="G94" s="190" t="s">
        <v>939</v>
      </c>
      <c r="H94" s="189" t="s">
        <v>940</v>
      </c>
      <c r="I94" s="189" t="s">
        <v>884</v>
      </c>
      <c r="J94" s="189" t="s">
        <v>1066</v>
      </c>
      <c r="K94" s="192" t="s">
        <v>943</v>
      </c>
      <c r="L94" s="193">
        <v>1</v>
      </c>
      <c r="M94" s="194" t="s">
        <v>1000</v>
      </c>
      <c r="N94" s="216">
        <f>VLOOKUP(C94,tableau_gfe12!$P$2:$AB$401,8,FALSE)</f>
        <v>1</v>
      </c>
      <c r="O94" s="216">
        <f>VLOOKUP(C94,tableau_gfe12!$P$2:$AB$401,12,FALSE)</f>
        <v>0.36</v>
      </c>
      <c r="P94" t="str">
        <f>VLOOKUP(C94,'[1]LPI Ariel'!$B$3:$G$72,6,FALSE)</f>
        <v>Add</v>
      </c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</row>
    <row r="95" spans="1:34" s="198" customFormat="1">
      <c r="A95" s="195"/>
      <c r="B95" s="187">
        <v>12</v>
      </c>
      <c r="C95" s="189" t="s">
        <v>573</v>
      </c>
      <c r="D95" s="189" t="s">
        <v>574</v>
      </c>
      <c r="E95" s="189" t="s">
        <v>1087</v>
      </c>
      <c r="F95" s="187">
        <v>1</v>
      </c>
      <c r="G95" s="190" t="s">
        <v>939</v>
      </c>
      <c r="H95" s="189" t="s">
        <v>940</v>
      </c>
      <c r="I95" s="189" t="s">
        <v>888</v>
      </c>
      <c r="J95" s="189" t="s">
        <v>1066</v>
      </c>
      <c r="K95" s="192" t="s">
        <v>1088</v>
      </c>
      <c r="L95" s="193">
        <v>0.24</v>
      </c>
      <c r="M95" s="194" t="s">
        <v>1000</v>
      </c>
      <c r="N95" s="216">
        <f>VLOOKUP(C95,tableau_gfe12!$P$2:$AB$401,8,FALSE)</f>
        <v>1</v>
      </c>
      <c r="O95" s="216">
        <f>VLOOKUP(C95,tableau_gfe12!$P$2:$AB$401,12,FALSE)</f>
        <v>0.23</v>
      </c>
      <c r="P95" t="str">
        <f>VLOOKUP(C95,'[1]LPI Ariel'!$B$3:$G$72,6,FALSE)</f>
        <v>Add</v>
      </c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</row>
    <row r="96" spans="1:34" s="198" customFormat="1">
      <c r="A96" s="195"/>
      <c r="B96" s="187">
        <v>12</v>
      </c>
      <c r="C96" s="189" t="s">
        <v>568</v>
      </c>
      <c r="D96" s="189" t="s">
        <v>569</v>
      </c>
      <c r="E96" s="189" t="s">
        <v>1089</v>
      </c>
      <c r="F96" s="187">
        <v>1</v>
      </c>
      <c r="G96" s="190" t="s">
        <v>939</v>
      </c>
      <c r="H96" s="189" t="s">
        <v>940</v>
      </c>
      <c r="I96" s="189" t="s">
        <v>888</v>
      </c>
      <c r="J96" s="189" t="s">
        <v>1066</v>
      </c>
      <c r="K96" s="192" t="s">
        <v>1090</v>
      </c>
      <c r="L96" s="193">
        <v>0.77</v>
      </c>
      <c r="M96" s="194" t="s">
        <v>1000</v>
      </c>
      <c r="N96" s="216">
        <f>VLOOKUP(C96,tableau_gfe12!$P$2:$AB$401,8,FALSE)</f>
        <v>1</v>
      </c>
      <c r="O96" s="216">
        <f>VLOOKUP(C96,tableau_gfe12!$P$2:$AB$401,12,FALSE)</f>
        <v>0</v>
      </c>
      <c r="P96" t="str">
        <f>VLOOKUP(C96,'[1]LPI Ariel'!$B$3:$G$72,6,FALSE)</f>
        <v>Add</v>
      </c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</row>
    <row r="97" spans="1:34" s="198" customFormat="1" hidden="1">
      <c r="A97" s="186"/>
      <c r="B97" s="187">
        <v>12</v>
      </c>
      <c r="C97" s="189" t="s">
        <v>1091</v>
      </c>
      <c r="D97" s="189" t="s">
        <v>1092</v>
      </c>
      <c r="E97" s="189" t="s">
        <v>1093</v>
      </c>
      <c r="F97" s="187">
        <v>1</v>
      </c>
      <c r="G97" s="190" t="s">
        <v>939</v>
      </c>
      <c r="H97" s="189" t="s">
        <v>940</v>
      </c>
      <c r="I97" s="189" t="s">
        <v>891</v>
      </c>
      <c r="J97" s="189" t="s">
        <v>1066</v>
      </c>
      <c r="K97" s="192" t="s">
        <v>943</v>
      </c>
      <c r="L97" s="193">
        <v>1</v>
      </c>
      <c r="M97" s="194" t="s">
        <v>944</v>
      </c>
      <c r="N97" s="216"/>
      <c r="O97" s="216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</row>
    <row r="98" spans="1:34" s="198" customFormat="1" hidden="1">
      <c r="A98" s="186"/>
      <c r="B98" s="187">
        <v>12</v>
      </c>
      <c r="C98" s="189" t="s">
        <v>1094</v>
      </c>
      <c r="D98" s="189" t="s">
        <v>1095</v>
      </c>
      <c r="E98" s="189" t="s">
        <v>1096</v>
      </c>
      <c r="F98" s="187">
        <v>1</v>
      </c>
      <c r="G98" s="190" t="s">
        <v>939</v>
      </c>
      <c r="H98" s="189" t="s">
        <v>940</v>
      </c>
      <c r="I98" s="189" t="s">
        <v>891</v>
      </c>
      <c r="J98" s="189" t="s">
        <v>1066</v>
      </c>
      <c r="K98" s="192" t="s">
        <v>943</v>
      </c>
      <c r="L98" s="193">
        <v>1</v>
      </c>
      <c r="M98" s="194" t="s">
        <v>944</v>
      </c>
      <c r="N98" s="216"/>
      <c r="O98" s="216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</row>
    <row r="99" spans="1:34" hidden="1">
      <c r="A99" s="186"/>
      <c r="B99" s="187">
        <v>12</v>
      </c>
      <c r="C99" s="189" t="s">
        <v>1097</v>
      </c>
      <c r="D99" s="189" t="s">
        <v>1098</v>
      </c>
      <c r="E99" s="189" t="s">
        <v>1099</v>
      </c>
      <c r="F99" s="187">
        <v>1</v>
      </c>
      <c r="G99" s="190" t="s">
        <v>939</v>
      </c>
      <c r="H99" s="189" t="s">
        <v>940</v>
      </c>
      <c r="I99" s="188" t="s">
        <v>888</v>
      </c>
      <c r="J99" s="189" t="s">
        <v>1066</v>
      </c>
      <c r="K99" s="192" t="s">
        <v>943</v>
      </c>
      <c r="L99" s="193">
        <v>1</v>
      </c>
      <c r="M99" s="194" t="s">
        <v>944</v>
      </c>
      <c r="N99" s="216"/>
      <c r="O99" s="216"/>
    </row>
    <row r="100" spans="1:34" hidden="1">
      <c r="A100" s="186"/>
      <c r="B100" s="187">
        <v>12</v>
      </c>
      <c r="C100" s="189" t="s">
        <v>1100</v>
      </c>
      <c r="D100" s="189" t="s">
        <v>1101</v>
      </c>
      <c r="E100" s="189" t="s">
        <v>1102</v>
      </c>
      <c r="F100" s="187">
        <v>1</v>
      </c>
      <c r="G100" s="190" t="s">
        <v>939</v>
      </c>
      <c r="H100" s="189" t="s">
        <v>940</v>
      </c>
      <c r="I100" s="188" t="s">
        <v>896</v>
      </c>
      <c r="J100" s="189" t="s">
        <v>942</v>
      </c>
      <c r="K100" s="192" t="s">
        <v>943</v>
      </c>
      <c r="L100" s="193">
        <v>1</v>
      </c>
      <c r="M100" s="194" t="s">
        <v>944</v>
      </c>
      <c r="N100" s="216"/>
      <c r="O100" s="216"/>
    </row>
    <row r="101" spans="1:34" hidden="1">
      <c r="A101" s="186"/>
      <c r="B101" s="187">
        <v>12</v>
      </c>
      <c r="C101" s="189" t="s">
        <v>1103</v>
      </c>
      <c r="D101" s="189" t="s">
        <v>1104</v>
      </c>
      <c r="E101" s="189" t="s">
        <v>1105</v>
      </c>
      <c r="F101" s="187">
        <v>1</v>
      </c>
      <c r="G101" s="190" t="s">
        <v>939</v>
      </c>
      <c r="H101" s="189" t="s">
        <v>940</v>
      </c>
      <c r="I101" s="188" t="s">
        <v>896</v>
      </c>
      <c r="J101" s="189" t="s">
        <v>942</v>
      </c>
      <c r="K101" s="192" t="s">
        <v>1106</v>
      </c>
      <c r="L101" s="193">
        <v>1</v>
      </c>
      <c r="M101" s="194" t="s">
        <v>944</v>
      </c>
      <c r="N101" s="216"/>
      <c r="O101" s="216"/>
    </row>
    <row r="102" spans="1:34" hidden="1">
      <c r="A102" s="186"/>
      <c r="B102" s="187">
        <v>12</v>
      </c>
      <c r="C102" s="189" t="s">
        <v>1107</v>
      </c>
      <c r="D102" s="189" t="s">
        <v>1108</v>
      </c>
      <c r="E102" s="189" t="s">
        <v>1109</v>
      </c>
      <c r="F102" s="187">
        <v>1</v>
      </c>
      <c r="G102" s="190" t="s">
        <v>939</v>
      </c>
      <c r="H102" s="189" t="s">
        <v>940</v>
      </c>
      <c r="I102" s="188" t="s">
        <v>896</v>
      </c>
      <c r="J102" s="189" t="s">
        <v>942</v>
      </c>
      <c r="K102" s="192" t="s">
        <v>1106</v>
      </c>
      <c r="L102" s="193">
        <v>1</v>
      </c>
      <c r="M102" s="194" t="s">
        <v>944</v>
      </c>
      <c r="N102" s="216"/>
      <c r="O102" s="216"/>
    </row>
    <row r="103" spans="1:34" hidden="1">
      <c r="A103" s="186"/>
      <c r="B103" s="199">
        <v>12</v>
      </c>
      <c r="C103" s="189" t="s">
        <v>1110</v>
      </c>
      <c r="D103" t="s">
        <v>1111</v>
      </c>
      <c r="E103" s="200" t="s">
        <v>1112</v>
      </c>
      <c r="F103" s="199">
        <v>1</v>
      </c>
      <c r="G103" s="190" t="s">
        <v>939</v>
      </c>
      <c r="H103" s="189" t="s">
        <v>940</v>
      </c>
      <c r="I103" t="s">
        <v>1113</v>
      </c>
      <c r="J103" s="189" t="s">
        <v>942</v>
      </c>
      <c r="K103" s="192" t="s">
        <v>943</v>
      </c>
      <c r="L103" s="193">
        <v>1</v>
      </c>
      <c r="M103" s="194" t="s">
        <v>944</v>
      </c>
      <c r="N103" s="216"/>
      <c r="O103" s="216"/>
    </row>
    <row r="104" spans="1:34">
      <c r="A104" s="195"/>
      <c r="B104" s="187">
        <v>12</v>
      </c>
      <c r="C104" s="189" t="s">
        <v>585</v>
      </c>
      <c r="D104" s="189" t="s">
        <v>586</v>
      </c>
      <c r="E104" s="189" t="s">
        <v>1114</v>
      </c>
      <c r="F104" s="187">
        <v>1</v>
      </c>
      <c r="G104" s="190" t="s">
        <v>939</v>
      </c>
      <c r="H104" s="189" t="s">
        <v>940</v>
      </c>
      <c r="I104" s="189" t="s">
        <v>906</v>
      </c>
      <c r="J104" s="189" t="s">
        <v>1066</v>
      </c>
      <c r="K104" s="192" t="s">
        <v>943</v>
      </c>
      <c r="L104" s="193">
        <v>1</v>
      </c>
      <c r="M104" s="194" t="s">
        <v>1000</v>
      </c>
      <c r="N104" s="216">
        <f>VLOOKUP(C104,tableau_gfe12!$P$2:$AB$401,8,FALSE)</f>
        <v>1</v>
      </c>
      <c r="O104" s="216">
        <f>VLOOKUP(C104,tableau_gfe12!$P$2:$AB$401,12,FALSE)</f>
        <v>1.2</v>
      </c>
      <c r="P104" t="str">
        <f>VLOOKUP(C104,'[1]LPI Ariel'!$B$3:$G$72,6,FALSE)</f>
        <v>Add</v>
      </c>
    </row>
    <row r="105" spans="1:34">
      <c r="A105" s="195"/>
      <c r="B105" s="187">
        <v>12</v>
      </c>
      <c r="C105" s="189" t="s">
        <v>129</v>
      </c>
      <c r="D105" s="189" t="s">
        <v>130</v>
      </c>
      <c r="E105" s="189" t="s">
        <v>1115</v>
      </c>
      <c r="F105" s="187">
        <v>1</v>
      </c>
      <c r="G105" s="190" t="s">
        <v>939</v>
      </c>
      <c r="H105" s="189" t="s">
        <v>940</v>
      </c>
      <c r="I105" s="189" t="s">
        <v>908</v>
      </c>
      <c r="J105" s="189" t="s">
        <v>1066</v>
      </c>
      <c r="K105" s="192" t="s">
        <v>943</v>
      </c>
      <c r="L105" s="193">
        <v>1</v>
      </c>
      <c r="M105" s="194" t="s">
        <v>1000</v>
      </c>
      <c r="N105" s="216">
        <f>VLOOKUP(C105,tableau_gfe12!$P$2:$AB$401,8,FALSE)</f>
        <v>1</v>
      </c>
      <c r="O105" s="216">
        <f>VLOOKUP(C105,tableau_gfe12!$P$2:$AB$401,12,FALSE)</f>
        <v>0.06</v>
      </c>
      <c r="P105" t="str">
        <f>VLOOKUP(C105,'[1]LPI Ariel'!$B$3:$G$72,6,FALSE)</f>
        <v>Add</v>
      </c>
    </row>
    <row r="106" spans="1:34">
      <c r="A106" s="195"/>
      <c r="B106" s="187">
        <v>12</v>
      </c>
      <c r="C106" s="189" t="s">
        <v>909</v>
      </c>
      <c r="D106" s="189" t="s">
        <v>900</v>
      </c>
      <c r="E106" s="189" t="s">
        <v>1069</v>
      </c>
      <c r="F106" s="187">
        <v>1</v>
      </c>
      <c r="G106" s="190" t="s">
        <v>939</v>
      </c>
      <c r="H106" s="189" t="s">
        <v>940</v>
      </c>
      <c r="I106" s="189" t="s">
        <v>910</v>
      </c>
      <c r="J106" s="189" t="s">
        <v>942</v>
      </c>
      <c r="K106" s="192" t="s">
        <v>943</v>
      </c>
      <c r="L106" s="193">
        <v>1</v>
      </c>
      <c r="M106" s="194" t="s">
        <v>1000</v>
      </c>
      <c r="N106" s="216">
        <f>VLOOKUP(C106,tableau_gfe12!$P$2:$AB$401,8,FALSE)</f>
        <v>2</v>
      </c>
      <c r="O106" s="216">
        <f>VLOOKUP(C106,tableau_gfe12!$P$2:$AB$401,12,FALSE)</f>
        <v>0</v>
      </c>
      <c r="P106" t="str">
        <f>VLOOKUP(C106,'[1]LPI Ariel'!$B$3:$G$72,6,FALSE)</f>
        <v>Add</v>
      </c>
    </row>
    <row r="107" spans="1:34">
      <c r="A107" s="195"/>
      <c r="B107" s="187">
        <v>12</v>
      </c>
      <c r="C107" s="189" t="s">
        <v>525</v>
      </c>
      <c r="D107" s="189" t="s">
        <v>526</v>
      </c>
      <c r="E107" s="189" t="s">
        <v>1116</v>
      </c>
      <c r="F107" s="187">
        <v>1</v>
      </c>
      <c r="G107" s="190" t="s">
        <v>939</v>
      </c>
      <c r="H107" s="189" t="s">
        <v>940</v>
      </c>
      <c r="I107" s="189" t="s">
        <v>911</v>
      </c>
      <c r="J107" s="189" t="s">
        <v>942</v>
      </c>
      <c r="K107" s="192" t="s">
        <v>943</v>
      </c>
      <c r="L107" s="193">
        <v>1</v>
      </c>
      <c r="M107" s="194" t="s">
        <v>1000</v>
      </c>
      <c r="N107" s="216">
        <f>VLOOKUP(C107,tableau_gfe12!$P$2:$AB$401,8,FALSE)</f>
        <v>1</v>
      </c>
      <c r="O107" s="216">
        <f>VLOOKUP(C107,tableau_gfe12!$P$2:$AB$401,12,FALSE)</f>
        <v>1.65</v>
      </c>
      <c r="P107" t="str">
        <f>VLOOKUP(C107,'[1]LPI Ariel'!$B$3:$G$72,6,FALSE)</f>
        <v>Add</v>
      </c>
    </row>
    <row r="108" spans="1:34">
      <c r="B108" s="187">
        <v>12</v>
      </c>
      <c r="C108" s="189" t="s">
        <v>913</v>
      </c>
      <c r="D108" s="189" t="s">
        <v>313</v>
      </c>
      <c r="E108" s="189" t="s">
        <v>1117</v>
      </c>
      <c r="F108" s="187">
        <v>1</v>
      </c>
      <c r="G108" s="190" t="s">
        <v>939</v>
      </c>
      <c r="H108" s="189" t="s">
        <v>940</v>
      </c>
      <c r="I108" s="189" t="s">
        <v>895</v>
      </c>
      <c r="J108" s="189" t="s">
        <v>942</v>
      </c>
      <c r="K108" s="192" t="s">
        <v>943</v>
      </c>
      <c r="L108" s="193">
        <v>1</v>
      </c>
      <c r="M108" s="194" t="s">
        <v>1000</v>
      </c>
      <c r="N108" s="216" t="e">
        <f>VLOOKUP(C108,tableau_gfe12!$P$2:$AB$401,8,FALSE)</f>
        <v>#N/A</v>
      </c>
      <c r="O108" s="216" t="e">
        <f>VLOOKUP(C108,tableau_gfe12!$P$2:$AB$401,12,FALSE)</f>
        <v>#N/A</v>
      </c>
      <c r="P108" t="str">
        <f>VLOOKUP(C108,'[1]LPI Ariel'!$B$3:$G$72,6,FALSE)</f>
        <v>Add</v>
      </c>
    </row>
  </sheetData>
  <autoFilter ref="A1:AH108" xr:uid="{5C3082AA-4474-4FB1-9AF9-BA5A9FA86E49}">
    <filterColumn colId="12">
      <filters>
        <filter val="SAS"/>
      </filters>
    </filterColumn>
  </autoFilter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AFFABF-8C35-42EB-9754-00770B35605A}">
  <dimension ref="A1:H16"/>
  <sheetViews>
    <sheetView workbookViewId="0">
      <selection activeCell="E21" sqref="E21"/>
    </sheetView>
  </sheetViews>
  <sheetFormatPr baseColWidth="10" defaultRowHeight="15"/>
  <cols>
    <col min="1" max="1" width="42.5703125" bestFit="1" customWidth="1"/>
    <col min="2" max="2" width="33.28515625" customWidth="1"/>
    <col min="3" max="3" width="42.5703125" bestFit="1" customWidth="1"/>
    <col min="4" max="4" width="36.5703125" bestFit="1" customWidth="1"/>
    <col min="5" max="5" width="33.42578125" bestFit="1" customWidth="1"/>
    <col min="6" max="6" width="36.5703125" customWidth="1"/>
    <col min="7" max="7" width="48.42578125" bestFit="1" customWidth="1"/>
    <col min="8" max="8" width="31.5703125" bestFit="1" customWidth="1"/>
  </cols>
  <sheetData>
    <row r="1" spans="1:8" ht="15.75">
      <c r="A1" s="202" t="s">
        <v>1131</v>
      </c>
      <c r="B1" s="202" t="s">
        <v>1128</v>
      </c>
      <c r="C1" s="203" t="s">
        <v>1129</v>
      </c>
      <c r="D1" s="203" t="s">
        <v>1132</v>
      </c>
      <c r="E1" s="203" t="s">
        <v>1119</v>
      </c>
      <c r="F1" s="203" t="s">
        <v>1130</v>
      </c>
      <c r="G1" s="203" t="s">
        <v>1120</v>
      </c>
      <c r="H1" s="214" t="s">
        <v>1133</v>
      </c>
    </row>
    <row r="2" spans="1:8" ht="15.75">
      <c r="A2" s="204" t="str">
        <f>VLOOKUP(E2,tableau_gfe12!$P$2:$AB$401,4,FALSE)</f>
        <v>LONGERON AR PARTIE AV D ASS</v>
      </c>
      <c r="B2" s="204" t="s">
        <v>215</v>
      </c>
      <c r="C2" s="205" t="str">
        <f>VLOOKUP(B2,tableau_gfe12!$T$2:$U$401,2,FALSE)</f>
        <v xml:space="preserve">ELEMENT FRMT BAVOLET AR D </v>
      </c>
      <c r="D2" s="205" t="str">
        <f>VLOOKUP(B2,tableau_gfe12!$P$2:$AB$401,13,FALSE)</f>
        <v>New</v>
      </c>
      <c r="E2" s="205" t="s">
        <v>221</v>
      </c>
      <c r="F2" s="205" t="str">
        <f>VLOOKUP(E2,tableau_gfe12!$P$2:$AB$401,13,FALSE)</f>
        <v>Buy</v>
      </c>
      <c r="G2" s="206" t="s">
        <v>222</v>
      </c>
      <c r="H2" s="206" t="s">
        <v>888</v>
      </c>
    </row>
    <row r="3" spans="1:8" ht="15.75">
      <c r="A3" s="204" t="str">
        <f>VLOOKUP(E3,tableau_gfe12!$P$2:$AB$401,4,FALSE)</f>
        <v>LONGERON AR G PARTIE AV ASS  -  4x2</v>
      </c>
      <c r="B3" s="204" t="s">
        <v>161</v>
      </c>
      <c r="C3" s="205" t="str">
        <f>VLOOKUP(B3,tableau_gfe12!$T$2:$U$401,2,FALSE)</f>
        <v>ELEMENT FRMT BAVOLET AR G</v>
      </c>
      <c r="D3" s="205" t="str">
        <f>VLOOKUP(B3,tableau_gfe12!$P$2:$AB$401,13,FALSE)</f>
        <v>New</v>
      </c>
      <c r="E3" s="205" t="s">
        <v>172</v>
      </c>
      <c r="F3" s="205" t="str">
        <f>VLOOKUP(E3,tableau_gfe12!$P$2:$AB$401,13,FALSE)</f>
        <v>Buy</v>
      </c>
      <c r="G3" s="206" t="s">
        <v>173</v>
      </c>
      <c r="H3" s="206" t="s">
        <v>888</v>
      </c>
    </row>
    <row r="4" spans="1:8" ht="15.75">
      <c r="A4" s="204" t="str">
        <f>VLOOKUP(E4,tableau_gfe12!$P$2:$AB$401,4,FALSE)</f>
        <v>LONGERON AR PARTIE AV D ASS</v>
      </c>
      <c r="B4" s="204" t="s">
        <v>229</v>
      </c>
      <c r="C4" s="205" t="str">
        <f>VLOOKUP(B4,tableau_gfe12!$T$2:$U$401,2,FALSE)</f>
        <v>RENFORT EXT D FIX TRAIN AR</v>
      </c>
      <c r="D4" s="205" t="str">
        <f>VLOOKUP(B4,tableau_gfe12!$P$2:$AB$401,13,FALSE)</f>
        <v>New</v>
      </c>
      <c r="E4" s="205" t="s">
        <v>232</v>
      </c>
      <c r="F4" s="205" t="str">
        <f>VLOOKUP(E4,tableau_gfe12!$P$2:$AB$401,13,FALSE)</f>
        <v>Buy</v>
      </c>
      <c r="G4" s="206" t="s">
        <v>233</v>
      </c>
      <c r="H4" s="206" t="s">
        <v>884</v>
      </c>
    </row>
    <row r="5" spans="1:8" ht="15.75">
      <c r="A5" s="204" t="str">
        <f>VLOOKUP(E5,tableau_gfe12!$P$2:$AB$401,4,FALSE)</f>
        <v>LONGERON AR G PARTIE AV ASS  -  4x2</v>
      </c>
      <c r="B5" s="204" t="s">
        <v>187</v>
      </c>
      <c r="C5" s="205" t="str">
        <f>VLOOKUP(B5,tableau_gfe12!$T$2:$U$401,2,FALSE)</f>
        <v>RENFORT EXT G FIX TRAIN AR</v>
      </c>
      <c r="D5" s="205" t="str">
        <f>VLOOKUP(B5,tableau_gfe12!$P$2:$AB$401,13,FALSE)</f>
        <v>New</v>
      </c>
      <c r="E5" s="205" t="s">
        <v>190</v>
      </c>
      <c r="F5" s="205" t="str">
        <f>VLOOKUP(E5,tableau_gfe12!$P$2:$AB$401,13,FALSE)</f>
        <v>Buy</v>
      </c>
      <c r="G5" s="206" t="s">
        <v>191</v>
      </c>
      <c r="H5" s="206" t="s">
        <v>884</v>
      </c>
    </row>
    <row r="6" spans="1:8" ht="15.75">
      <c r="A6" s="204" t="str">
        <f>VLOOKUP(E6,tableau_gfe12!$P$2:$AB$401,4,FALSE)</f>
        <v>LONGERON AR G PARTIE AV ASS  -  4x2</v>
      </c>
      <c r="B6" s="204" t="s">
        <v>175</v>
      </c>
      <c r="C6" s="205" t="str">
        <f>VLOOKUP(B6,tableau_gfe12!$T$2:$U$401,2,FALSE)</f>
        <v>RENFORT INT G FIX TRAIN AR</v>
      </c>
      <c r="D6" s="205" t="str">
        <f>VLOOKUP(B6,tableau_gfe12!$P$2:$AB$401,13,FALSE)</f>
        <v>Buy</v>
      </c>
      <c r="E6" s="205" t="s">
        <v>183</v>
      </c>
      <c r="F6" s="205" t="str">
        <f>VLOOKUP(E6,tableau_gfe12!$P$2:$AB$401,13,FALSE)</f>
        <v>Buy</v>
      </c>
      <c r="G6" s="206" t="s">
        <v>184</v>
      </c>
      <c r="H6" s="206" t="s">
        <v>894</v>
      </c>
    </row>
    <row r="7" spans="1:8" ht="15.75">
      <c r="A7" s="204" t="str">
        <f>VLOOKUP(E7,tableau_gfe12!$P$2:$AB$401,4,FALSE)</f>
        <v>LONGERON AR PARTIE AV D ASS</v>
      </c>
      <c r="B7" s="204" t="s">
        <v>229</v>
      </c>
      <c r="C7" s="205" t="str">
        <f>VLOOKUP(B7,tableau_gfe12!$T$2:$U$401,2,FALSE)</f>
        <v>RENFORT EXT D FIX TRAIN AR</v>
      </c>
      <c r="D7" s="205" t="str">
        <f>VLOOKUP(B7,tableau_gfe12!$P$2:$AB$401,13,FALSE)</f>
        <v>New</v>
      </c>
      <c r="E7" s="205" t="s">
        <v>234</v>
      </c>
      <c r="F7" s="205" t="str">
        <f>VLOOKUP(E7,tableau_gfe12!$P$2:$AB$401,13,FALSE)</f>
        <v>Buy</v>
      </c>
      <c r="G7" s="206" t="s">
        <v>235</v>
      </c>
      <c r="H7" s="206" t="s">
        <v>884</v>
      </c>
    </row>
    <row r="8" spans="1:8" ht="15.75">
      <c r="A8" s="204" t="str">
        <f>VLOOKUP(E8,tableau_gfe12!$P$2:$AB$401,4,FALSE)</f>
        <v>LONGERON AR G PARTIE AV ASS  -  4x2</v>
      </c>
      <c r="B8" s="204" t="s">
        <v>187</v>
      </c>
      <c r="C8" s="205" t="str">
        <f>VLOOKUP(B8,tableau_gfe12!$T$2:$U$401,2,FALSE)</f>
        <v>RENFORT EXT G FIX TRAIN AR</v>
      </c>
      <c r="D8" s="205" t="str">
        <f>VLOOKUP(B8,tableau_gfe12!$P$2:$AB$401,13,FALSE)</f>
        <v>New</v>
      </c>
      <c r="E8" s="205" t="s">
        <v>192</v>
      </c>
      <c r="F8" s="205" t="str">
        <f>VLOOKUP(E8,tableau_gfe12!$P$2:$AB$401,13,FALSE)</f>
        <v>Buy</v>
      </c>
      <c r="G8" s="206" t="s">
        <v>193</v>
      </c>
      <c r="H8" s="206" t="s">
        <v>884</v>
      </c>
    </row>
    <row r="9" spans="1:8" ht="15.75">
      <c r="A9" s="204" t="str">
        <f>VLOOKUP(E9,tableau_gfe12!$P$2:$AB$401,4,FALSE)</f>
        <v>LONGERON AR G PARTIE AR ASS</v>
      </c>
      <c r="B9" s="204" t="s">
        <v>125</v>
      </c>
      <c r="C9" s="205" t="str">
        <f>VLOOKUP(B9,tableau_gfe12!$T$2:$U$401,2,FALSE)</f>
        <v>SUPPORT AR ECHAPPEMENT SUR SBS</v>
      </c>
      <c r="D9" s="205" t="str">
        <f>VLOOKUP(B9,tableau_gfe12!$P$2:$AB$401,13,FALSE)</f>
        <v>New</v>
      </c>
      <c r="E9" s="205" t="s">
        <v>129</v>
      </c>
      <c r="F9" s="205" t="str">
        <f>VLOOKUP(E9,tableau_gfe12!$P$2:$AB$401,13,FALSE)</f>
        <v>Buy</v>
      </c>
      <c r="G9" s="206" t="s">
        <v>130</v>
      </c>
      <c r="H9" s="206" t="s">
        <v>908</v>
      </c>
    </row>
    <row r="10" spans="1:8" ht="15.75">
      <c r="A10" s="211" t="e">
        <f>VLOOKUP(E10,tableau_gfe12!$P$2:$AB$401,4,FALSE)</f>
        <v>#N/A</v>
      </c>
      <c r="B10" s="211" t="e">
        <v>#N/A</v>
      </c>
      <c r="C10" s="212" t="e">
        <f>VLOOKUP(B10,tableau_gfe12!$T$2:$U$401,2,FALSE)</f>
        <v>#N/A</v>
      </c>
      <c r="D10" s="205" t="e">
        <f>VLOOKUP(B10,tableau_gfe12!$P$2:$AB$401,13,FALSE)</f>
        <v>#N/A</v>
      </c>
      <c r="E10" s="212" t="s">
        <v>1121</v>
      </c>
      <c r="F10" s="205" t="e">
        <f>VLOOKUP(E10,tableau_gfe12!$P$2:$AB$401,13,FALSE)</f>
        <v>#N/A</v>
      </c>
      <c r="G10" s="213" t="s">
        <v>583</v>
      </c>
      <c r="H10" s="213" t="e">
        <v>#N/A</v>
      </c>
    </row>
    <row r="11" spans="1:8" ht="15.75">
      <c r="A11" s="204" t="str">
        <f>VLOOKUP(E11,tableau_gfe12!$P$2:$AB$401,4,FALSE)</f>
        <v>LONGERON AR G PARTIE AV ASS  -  4x2</v>
      </c>
      <c r="B11" s="204" t="s">
        <v>161</v>
      </c>
      <c r="C11" s="205" t="str">
        <f>VLOOKUP(B11,tableau_gfe12!$T$2:$U$401,2,FALSE)</f>
        <v>ELEMENT FRMT BAVOLET AR G</v>
      </c>
      <c r="D11" s="205" t="str">
        <f>VLOOKUP(B11,tableau_gfe12!$P$2:$AB$401,13,FALSE)</f>
        <v>New</v>
      </c>
      <c r="E11" s="205" t="s">
        <v>165</v>
      </c>
      <c r="F11" s="205" t="str">
        <f>VLOOKUP(E11,tableau_gfe12!$P$2:$AB$401,13,FALSE)</f>
        <v>Buy</v>
      </c>
      <c r="G11" s="206" t="s">
        <v>166</v>
      </c>
      <c r="H11" s="206" t="s">
        <v>880</v>
      </c>
    </row>
    <row r="12" spans="1:8" ht="15.75">
      <c r="A12" s="204" t="str">
        <f>VLOOKUP(E12,tableau_gfe12!$P$2:$AB$401,4,FALSE)</f>
        <v>LONGERON AR G PARTIE AV ASS  -  4x2</v>
      </c>
      <c r="B12" s="204" t="s">
        <v>161</v>
      </c>
      <c r="C12" s="205" t="str">
        <f>VLOOKUP(B12,tableau_gfe12!$T$2:$U$401,2,FALSE)</f>
        <v>ELEMENT FRMT BAVOLET AR G</v>
      </c>
      <c r="D12" s="205" t="str">
        <f>VLOOKUP(B12,tableau_gfe12!$P$2:$AB$401,13,FALSE)</f>
        <v>New</v>
      </c>
      <c r="E12" s="205" t="s">
        <v>167</v>
      </c>
      <c r="F12" s="205" t="str">
        <f>VLOOKUP(E12,tableau_gfe12!$P$2:$AB$401,13,FALSE)</f>
        <v>Buy</v>
      </c>
      <c r="G12" s="206" t="s">
        <v>166</v>
      </c>
      <c r="H12" s="206" t="s">
        <v>880</v>
      </c>
    </row>
    <row r="13" spans="1:8" ht="15.75">
      <c r="A13" s="204" t="str">
        <f>VLOOKUP(E13,tableau_gfe12!$P$2:$AB$401,4,FALSE)</f>
        <v>LONGERON AR D PARTIE AR ASS</v>
      </c>
      <c r="B13" s="204" t="s">
        <v>87</v>
      </c>
      <c r="C13" s="205" t="str">
        <f>VLOOKUP(B13,tableau_gfe12!$T$2:$U$401,2,FALSE)</f>
        <v>LONGERON AR D PARTIE AR</v>
      </c>
      <c r="D13" s="205" t="str">
        <f>VLOOKUP(B13,tableau_gfe12!$P$2:$AB$401,13,FALSE)</f>
        <v>New</v>
      </c>
      <c r="E13" s="205" t="s">
        <v>909</v>
      </c>
      <c r="F13" s="205" t="str">
        <f>VLOOKUP(E13,tableau_gfe12!$P$2:$AB$401,13,FALSE)</f>
        <v>Buy</v>
      </c>
      <c r="G13" s="206" t="s">
        <v>900</v>
      </c>
      <c r="H13" s="206" t="s">
        <v>910</v>
      </c>
    </row>
    <row r="14" spans="1:8" ht="15.75">
      <c r="A14" s="204" t="str">
        <f>VLOOKUP(E14,tableau_gfe12!$P$2:$AB$401,4,FALSE)</f>
        <v>LONGERON CTL G SOUS PLANCHER ASS</v>
      </c>
      <c r="B14" s="204" t="s">
        <v>391</v>
      </c>
      <c r="C14" s="205" t="str">
        <f>VLOOKUP(B14,tableau_gfe12!$T$2:$U$401,2,FALSE)</f>
        <v>LONGERON CTL SOUS PLANCHER</v>
      </c>
      <c r="D14" s="205" t="str">
        <f>VLOOKUP(B14,tableau_gfe12!$P$2:$AB$401,13,FALSE)</f>
        <v>New</v>
      </c>
      <c r="E14" s="205" t="s">
        <v>393</v>
      </c>
      <c r="F14" s="205" t="str">
        <f>VLOOKUP(E14,tableau_gfe12!$P$2:$AB$401,13,FALSE)</f>
        <v>Buy</v>
      </c>
      <c r="G14" s="206" t="s">
        <v>394</v>
      </c>
      <c r="H14" s="206" t="s">
        <v>888</v>
      </c>
    </row>
    <row r="15" spans="1:8" ht="15.75">
      <c r="A15" s="204" t="str">
        <f>VLOOKUP(E15,tableau_gfe12!$P$2:$AB$401,4,FALSE)</f>
        <v>LONGERON AR PARTIE AV D ASS</v>
      </c>
      <c r="B15" s="204" t="s">
        <v>215</v>
      </c>
      <c r="C15" s="205" t="str">
        <f>VLOOKUP(B15,tableau_gfe12!$T$2:$U$401,2,FALSE)</f>
        <v xml:space="preserve">ELEMENT FRMT BAVOLET AR D </v>
      </c>
      <c r="D15" s="205" t="str">
        <f>VLOOKUP(B15,tableau_gfe12!$P$2:$AB$401,13,FALSE)</f>
        <v>New</v>
      </c>
      <c r="E15" s="205" t="s">
        <v>219</v>
      </c>
      <c r="F15" s="205" t="str">
        <f>VLOOKUP(E15,tableau_gfe12!$P$2:$AB$401,13,FALSE)</f>
        <v>Buy</v>
      </c>
      <c r="G15" s="206" t="s">
        <v>220</v>
      </c>
      <c r="H15" s="206" t="s">
        <v>880</v>
      </c>
    </row>
    <row r="16" spans="1:8" ht="15.75">
      <c r="A16" s="204" t="str">
        <f>VLOOKUP(E16,tableau_gfe12!$P$2:$AB$401,4,FALSE)</f>
        <v>LONGERON AR G PARTIE AV ASS  -  4x2</v>
      </c>
      <c r="B16" s="204" t="s">
        <v>161</v>
      </c>
      <c r="C16" s="205" t="str">
        <f>VLOOKUP(B16,tableau_gfe12!$T$2:$U$401,2,FALSE)</f>
        <v>ELEMENT FRMT BAVOLET AR G</v>
      </c>
      <c r="D16" s="205" t="str">
        <f>VLOOKUP(B16,tableau_gfe12!$P$2:$AB$401,13,FALSE)</f>
        <v>New</v>
      </c>
      <c r="E16" s="205" t="s">
        <v>168</v>
      </c>
      <c r="F16" s="205" t="str">
        <f>VLOOKUP(E16,tableau_gfe12!$P$2:$AB$401,13,FALSE)</f>
        <v>Buy</v>
      </c>
      <c r="G16" s="206" t="s">
        <v>169</v>
      </c>
      <c r="H16" s="206" t="s">
        <v>880</v>
      </c>
    </row>
  </sheetData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fd1c0902-ed92-4fed-896d-2e7725de02d4}" enabled="1" method="Standard" siteId="{d6b0bbee-7cd9-4d60-bce6-4a67b543e2ae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1</vt:i4>
      </vt:variant>
    </vt:vector>
  </HeadingPairs>
  <TitlesOfParts>
    <vt:vector size="9" baseType="lpstr">
      <vt:lpstr>tableau_gfe12</vt:lpstr>
      <vt:lpstr>H1312 PH2</vt:lpstr>
      <vt:lpstr>DELIVERABLES PH2 - TOTAL</vt:lpstr>
      <vt:lpstr>Valores</vt:lpstr>
      <vt:lpstr>Ayuda</vt:lpstr>
      <vt:lpstr>SupplyAsService</vt:lpstr>
      <vt:lpstr>CO F3</vt:lpstr>
      <vt:lpstr>Hoja2</vt:lpstr>
      <vt:lpstr>TYPE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DENARO Ariel (renexter)</dc:creator>
  <cp:keywords/>
  <dc:description/>
  <cp:lastModifiedBy>DENARO Ariel (renexter)</cp:lastModifiedBy>
  <cp:revision/>
  <dcterms:created xsi:type="dcterms:W3CDTF">2023-12-07T17:15:01Z</dcterms:created>
  <dcterms:modified xsi:type="dcterms:W3CDTF">2024-10-31T19:51:58Z</dcterms:modified>
  <cp:category/>
  <cp:contentStatus/>
</cp:coreProperties>
</file>